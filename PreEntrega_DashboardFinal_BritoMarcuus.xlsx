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3C665D6-010B-4249-A163-4DC833AE5964}" xr6:coauthVersionLast="47" xr6:coauthVersionMax="47" xr10:uidLastSave="{00000000-0000-0000-0000-000000000000}"/>
  <bookViews>
    <workbookView xWindow="-120" yWindow="-120" windowWidth="29040" windowHeight="15720" activeTab="3" xr2:uid="{27B325C7-0020-4D8D-8BC2-F1089ABDF155}"/>
  </bookViews>
  <sheets>
    <sheet name="Estadistica_Descriptiva" sheetId="1" r:id="rId1"/>
    <sheet name="Resumen_Escenarios" sheetId="3" r:id="rId2"/>
    <sheet name="Simulacion_Financiera" sheetId="2" r:id="rId3"/>
    <sheet name="Dashboard Final" sheetId="8" r:id="rId4"/>
    <sheet name="Soporte_Dashboard" sheetId="9" r:id="rId5"/>
    <sheet name="Raw_Ventas" sheetId="4" state="hidden" r:id="rId6"/>
    <sheet name="Clientes" sheetId="5" state="hidden" r:id="rId7"/>
    <sheet name="Productos" sheetId="6" state="hidden" r:id="rId8"/>
    <sheet name="Calendario" sheetId="7" state="hidden" r:id="rId9"/>
  </sheets>
  <definedNames>
    <definedName name="_xlchart.v1.0" hidden="1">Soporte_Dashboard!$H$2:$H$4</definedName>
    <definedName name="_xlchart.v1.1" hidden="1">Soporte_Dashboard!$I$1</definedName>
    <definedName name="_xlchart.v1.2" hidden="1">Soporte_Dashboard!$I$2:$I$4</definedName>
    <definedName name="_xlchart.v1.3" hidden="1">Soporte_Dashboard!$H$2:$H$4</definedName>
    <definedName name="_xlchart.v1.4" hidden="1">Soporte_Dashboard!$I$1</definedName>
    <definedName name="_xlchart.v1.5" hidden="1">Soporte_Dashboard!$I$2:$I$4</definedName>
    <definedName name="_xlcn.WorksheetConnection_PreEntrega_DashboardFinal_BritoMarcuus.xlsxtblProductos1" hidden="1">tblProductos[]</definedName>
    <definedName name="SegmentaciónDeDatos_Categoria">#N/A</definedName>
    <definedName name="SegmentaciónDeDatos_Mes">#N/A</definedName>
    <definedName name="SegmentaciónDeDatos_Region">#N/A</definedName>
  </definedNames>
  <calcPr calcId="191029"/>
  <pivotCaches>
    <pivotCache cacheId="275" r:id="rId10"/>
    <pivotCache cacheId="278" r:id="rId11"/>
    <pivotCache cacheId="281" r:id="rId12"/>
  </pivotCaches>
  <extLst>
    <ext xmlns:x14="http://schemas.microsoft.com/office/spreadsheetml/2009/9/main" uri="{876F7934-8845-4945-9796-88D515C7AA90}">
      <x14:pivotCaches>
        <pivotCache cacheId="59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Ventas_c5e362d3-1676-446c-9495-e9c97e4867c5" name="FactVentas" connection="Consulta - FactVentas"/>
          <x15:modelTable id="DimClientes_de80099d-f1f8-40b6-8948-b227fab596f5" name="DimClientes" connection="Consulta - DimClientes"/>
          <x15:modelTable id="DimProductos_eaa026b0-7184-496d-8e91-d6c4e94d2023" name="DimProductos" connection="Consulta - DimProductos"/>
          <x15:modelTable id="DimCalendario_029b021d-43be-4e96-9366-1553dbf046c1" name="DimCalendario" connection="Consulta - DimCalendario"/>
          <x15:modelTable id="tblProductos" name="tblProductos" connection="WorksheetConnection_PreEntrega_DashboardFinal_BritoMarcuus.xlsx!tblProductos"/>
        </x15:modelTables>
        <x15:modelRelationships>
          <x15:modelRelationship fromTable="FactVentas" fromColumn="ClienteID" toTable="DimClientes" toColumn="ClienteID"/>
          <x15:modelRelationship fromTable="FactVentas" fromColumn="ProductoID" toTable="DimProductos" toColumn="ProductoID"/>
          <x15:modelRelationship fromTable="FactVentas" fromColumn="Fecha" toTable="Dim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9" l="1"/>
  <c r="I3" i="9"/>
  <c r="I2" i="9"/>
  <c r="N8" i="8"/>
  <c r="F9" i="8"/>
  <c r="B9" i="8"/>
  <c r="F2" i="9"/>
  <c r="K8" i="8" s="1"/>
  <c r="B8" i="2"/>
  <c r="B9" i="2" l="1"/>
  <c r="B10" i="2" s="1"/>
  <c r="B1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FFB69-7F01-423F-BC62-734D07D46B4D}" name="Consulta - DimCalendario" description="Conexión a la consulta 'DimCalendario' en el libro." type="100" refreshedVersion="7" minRefreshableVersion="5">
    <extLst>
      <ext xmlns:x15="http://schemas.microsoft.com/office/spreadsheetml/2010/11/main" uri="{DE250136-89BD-433C-8126-D09CA5730AF9}">
        <x15:connection id="e54a964b-f6de-4ce3-bbe2-87b1c95b5f10"/>
      </ext>
    </extLst>
  </connection>
  <connection id="2" xr16:uid="{4F6390AB-9A21-423A-86D4-0EC7D69F174F}" name="Consulta - DimClientes" description="Conexión a la consulta 'DimClientes' en el libro." type="100" refreshedVersion="7" minRefreshableVersion="5">
    <extLst>
      <ext xmlns:x15="http://schemas.microsoft.com/office/spreadsheetml/2010/11/main" uri="{DE250136-89BD-433C-8126-D09CA5730AF9}">
        <x15:connection id="56c0de98-60a0-4409-825f-fd4578f7c3aa"/>
      </ext>
    </extLst>
  </connection>
  <connection id="3" xr16:uid="{31380B44-5BDD-4BC2-9F16-43854713AEB0}" name="Consulta - DimProductos" description="Conexión a la consulta 'DimProductos' en el libro." type="100" refreshedVersion="7" minRefreshableVersion="5">
    <extLst>
      <ext xmlns:x15="http://schemas.microsoft.com/office/spreadsheetml/2010/11/main" uri="{DE250136-89BD-433C-8126-D09CA5730AF9}">
        <x15:connection id="86e8e53f-f7e1-4c3b-9733-2a788a550bda"/>
      </ext>
    </extLst>
  </connection>
  <connection id="4" xr16:uid="{C91E087A-0FDE-4E89-858A-58BA316B5CBA}" name="Consulta - FactVentas" description="Conexión a la consulta 'FactVentas' en el libro." type="100" refreshedVersion="7" minRefreshableVersion="5">
    <extLst>
      <ext xmlns:x15="http://schemas.microsoft.com/office/spreadsheetml/2010/11/main" uri="{DE250136-89BD-433C-8126-D09CA5730AF9}">
        <x15:connection id="cec0225b-fe40-40e7-90d3-d8f01b05beff"/>
      </ext>
    </extLst>
  </connection>
  <connection id="5" xr16:uid="{06BE6B92-CEBA-48BE-9932-8F1A38D1EF65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3A5A79ED-1177-457F-966F-1D58DD36367F}" name="WorksheetConnection_PreEntrega_DashboardFinal_BritoMarcuus.xlsx!tblProductos" type="102" refreshedVersion="7" minRefreshableVersion="5">
    <extLst>
      <ext xmlns:x15="http://schemas.microsoft.com/office/spreadsheetml/2010/11/main" uri="{DE250136-89BD-433C-8126-D09CA5730AF9}">
        <x15:connection id="tblProductos">
          <x15:rangePr sourceName="_xlcn.WorksheetConnection_PreEntrega_DashboardFinal_BritoMarcuus.xlsxtblProductos1"/>
        </x15:connection>
      </ext>
    </extLst>
  </connection>
</connections>
</file>

<file path=xl/sharedStrings.xml><?xml version="1.0" encoding="utf-8"?>
<sst xmlns="http://schemas.openxmlformats.org/spreadsheetml/2006/main" count="4060" uniqueCount="1070">
  <si>
    <t>VentaNeta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</si>
  <si>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</si>
  <si>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</si>
  <si>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</si>
  <si>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</si>
  <si>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</si>
  <si>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</si>
  <si>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</si>
  <si>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</si>
  <si>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</si>
  <si>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</si>
  <si>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</si>
  <si>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</si>
  <si>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</si>
  <si>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SIMULACIÓN FINANCIERA</t>
  </si>
  <si>
    <t>Unidades proyectadas</t>
  </si>
  <si>
    <t>Precio por unidad</t>
  </si>
  <si>
    <t>Tasa de costo variable</t>
  </si>
  <si>
    <t>Costos fijos</t>
  </si>
  <si>
    <t>Ingresos</t>
  </si>
  <si>
    <t>Costos variables</t>
  </si>
  <si>
    <t>Costos totales</t>
  </si>
  <si>
    <t>Beneficio neto</t>
  </si>
  <si>
    <t>$B$5</t>
  </si>
  <si>
    <t>$B$11</t>
  </si>
  <si>
    <t>Pesimista</t>
  </si>
  <si>
    <t>Creado por Pc el 19/10/2026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</si>
  <si>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</si>
  <si>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</si>
  <si>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</si>
  <si>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</si>
  <si>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</si>
  <si>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</si>
  <si>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</si>
  <si>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</si>
  <si>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</si>
  <si>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VentaID</t>
  </si>
  <si>
    <t>Fecha</t>
  </si>
  <si>
    <t>ClienteID</t>
  </si>
  <si>
    <t>ProductoID</t>
  </si>
  <si>
    <t>Unidades</t>
  </si>
  <si>
    <t>PrecioUnitario</t>
  </si>
  <si>
    <t>CostoUnitario</t>
  </si>
  <si>
    <t>DescuentoPct</t>
  </si>
  <si>
    <t>CostoEnvio</t>
  </si>
  <si>
    <t>Canal</t>
  </si>
  <si>
    <t>Region</t>
  </si>
  <si>
    <t>V0001</t>
  </si>
  <si>
    <t>C015</t>
  </si>
  <si>
    <t>P001</t>
  </si>
  <si>
    <t>27284.63</t>
  </si>
  <si>
    <t>Mayorista</t>
  </si>
  <si>
    <t>Patagonia</t>
  </si>
  <si>
    <t>V0002</t>
  </si>
  <si>
    <t>C012</t>
  </si>
  <si>
    <t>P019</t>
  </si>
  <si>
    <t>6682.24</t>
  </si>
  <si>
    <t xml:space="preserve"> tienda </t>
  </si>
  <si>
    <t>Litoral</t>
  </si>
  <si>
    <t>V0003</t>
  </si>
  <si>
    <t>C072</t>
  </si>
  <si>
    <t>P007</t>
  </si>
  <si>
    <t>51059.61</t>
  </si>
  <si>
    <t>0.15</t>
  </si>
  <si>
    <t>MAYORISTA</t>
  </si>
  <si>
    <t>Centro</t>
  </si>
  <si>
    <t>V0004</t>
  </si>
  <si>
    <t>C055</t>
  </si>
  <si>
    <t>P011</t>
  </si>
  <si>
    <t>14388.53</t>
  </si>
  <si>
    <t>0.05</t>
  </si>
  <si>
    <t>Online</t>
  </si>
  <si>
    <t>NEA</t>
  </si>
  <si>
    <t>V0005</t>
  </si>
  <si>
    <t>C046</t>
  </si>
  <si>
    <t>P012</t>
  </si>
  <si>
    <t>33103.78</t>
  </si>
  <si>
    <t>0.1</t>
  </si>
  <si>
    <t>V0006</t>
  </si>
  <si>
    <t>C071</t>
  </si>
  <si>
    <t>P010</t>
  </si>
  <si>
    <t>40967.46</t>
  </si>
  <si>
    <t>Cuyo</t>
  </si>
  <si>
    <t>V0007</t>
  </si>
  <si>
    <t>C011</t>
  </si>
  <si>
    <t>P008</t>
  </si>
  <si>
    <t>52184.38</t>
  </si>
  <si>
    <t>ONLINE</t>
  </si>
  <si>
    <t>NOA</t>
  </si>
  <si>
    <t>V0008</t>
  </si>
  <si>
    <t>C035</t>
  </si>
  <si>
    <t>P023</t>
  </si>
  <si>
    <t>12421.8</t>
  </si>
  <si>
    <t>V0009</t>
  </si>
  <si>
    <t>C060</t>
  </si>
  <si>
    <t>P013</t>
  </si>
  <si>
    <t>22638.76</t>
  </si>
  <si>
    <t>V0010</t>
  </si>
  <si>
    <t>C052</t>
  </si>
  <si>
    <t>P009</t>
  </si>
  <si>
    <t>24320.68</t>
  </si>
  <si>
    <t xml:space="preserve"> online </t>
  </si>
  <si>
    <t>V0011</t>
  </si>
  <si>
    <t>C051</t>
  </si>
  <si>
    <t>P021</t>
  </si>
  <si>
    <t>14662.14</t>
  </si>
  <si>
    <t>V0012</t>
  </si>
  <si>
    <t>36026.63</t>
  </si>
  <si>
    <t>Tienda</t>
  </si>
  <si>
    <t>V0013</t>
  </si>
  <si>
    <t>P005</t>
  </si>
  <si>
    <t>17572.28</t>
  </si>
  <si>
    <t>V0014</t>
  </si>
  <si>
    <t>C077</t>
  </si>
  <si>
    <t>P015</t>
  </si>
  <si>
    <t>34800.66</t>
  </si>
  <si>
    <t>V0015</t>
  </si>
  <si>
    <t>C044</t>
  </si>
  <si>
    <t>P004</t>
  </si>
  <si>
    <t>49841.98</t>
  </si>
  <si>
    <t>V0016</t>
  </si>
  <si>
    <t>C014</t>
  </si>
  <si>
    <t>18724.9</t>
  </si>
  <si>
    <t>V0017</t>
  </si>
  <si>
    <t>6908.75</t>
  </si>
  <si>
    <t>V0018</t>
  </si>
  <si>
    <t>C073</t>
  </si>
  <si>
    <t>P003</t>
  </si>
  <si>
    <t>81145.39</t>
  </si>
  <si>
    <t>V0019</t>
  </si>
  <si>
    <t>P006</t>
  </si>
  <si>
    <t>65603.29</t>
  </si>
  <si>
    <t>V0020</t>
  </si>
  <si>
    <t>C048</t>
  </si>
  <si>
    <t>63561.41</t>
  </si>
  <si>
    <t>V0021</t>
  </si>
  <si>
    <t>17652.92</t>
  </si>
  <si>
    <t>V0022</t>
  </si>
  <si>
    <t>C010</t>
  </si>
  <si>
    <t>P017</t>
  </si>
  <si>
    <t>31673.92</t>
  </si>
  <si>
    <t>V0023</t>
  </si>
  <si>
    <t>C074</t>
  </si>
  <si>
    <t>P016</t>
  </si>
  <si>
    <t>80929.67</t>
  </si>
  <si>
    <t>V0024</t>
  </si>
  <si>
    <t>P014</t>
  </si>
  <si>
    <t>82355.07</t>
  </si>
  <si>
    <t>V0025</t>
  </si>
  <si>
    <t>21547.06</t>
  </si>
  <si>
    <t>V0026</t>
  </si>
  <si>
    <t>C032</t>
  </si>
  <si>
    <t>10109.44</t>
  </si>
  <si>
    <t>V0027</t>
  </si>
  <si>
    <t>C053</t>
  </si>
  <si>
    <t>23963.83</t>
  </si>
  <si>
    <t>V0028</t>
  </si>
  <si>
    <t>C034</t>
  </si>
  <si>
    <t>60368.36</t>
  </si>
  <si>
    <t>V0029</t>
  </si>
  <si>
    <t>C028</t>
  </si>
  <si>
    <t>P002</t>
  </si>
  <si>
    <t>8664.41</t>
  </si>
  <si>
    <t>V0030</t>
  </si>
  <si>
    <t>C068</t>
  </si>
  <si>
    <t>13424.56</t>
  </si>
  <si>
    <t>V0031</t>
  </si>
  <si>
    <t>21860.84</t>
  </si>
  <si>
    <t>V0032</t>
  </si>
  <si>
    <t>C075</t>
  </si>
  <si>
    <t>45898.95</t>
  </si>
  <si>
    <t>V0033</t>
  </si>
  <si>
    <t>C017</t>
  </si>
  <si>
    <t>P022</t>
  </si>
  <si>
    <t>29482.27</t>
  </si>
  <si>
    <t>V0034</t>
  </si>
  <si>
    <t>C013</t>
  </si>
  <si>
    <t>21323.31</t>
  </si>
  <si>
    <t>V0035</t>
  </si>
  <si>
    <t>C037</t>
  </si>
  <si>
    <t>31080.86</t>
  </si>
  <si>
    <t>V0036</t>
  </si>
  <si>
    <t>13583.41</t>
  </si>
  <si>
    <t>V0037</t>
  </si>
  <si>
    <t>C027</t>
  </si>
  <si>
    <t>22659.98</t>
  </si>
  <si>
    <t>V0038</t>
  </si>
  <si>
    <t>25206.3</t>
  </si>
  <si>
    <t>V0039</t>
  </si>
  <si>
    <t>C057</t>
  </si>
  <si>
    <t>P018</t>
  </si>
  <si>
    <t>57715.73</t>
  </si>
  <si>
    <t>V0040</t>
  </si>
  <si>
    <t>C005</t>
  </si>
  <si>
    <t>15572.42</t>
  </si>
  <si>
    <t>V0041</t>
  </si>
  <si>
    <t>11364.23</t>
  </si>
  <si>
    <t>V0042</t>
  </si>
  <si>
    <t>C031</t>
  </si>
  <si>
    <t>47234.57</t>
  </si>
  <si>
    <t>V0043</t>
  </si>
  <si>
    <t>11483.72</t>
  </si>
  <si>
    <t>V0044</t>
  </si>
  <si>
    <t>C045</t>
  </si>
  <si>
    <t>17774.17</t>
  </si>
  <si>
    <t>V0045</t>
  </si>
  <si>
    <t>C036</t>
  </si>
  <si>
    <t>60034.58</t>
  </si>
  <si>
    <t xml:space="preserve"> centro </t>
  </si>
  <si>
    <t>V0046</t>
  </si>
  <si>
    <t>C023</t>
  </si>
  <si>
    <t>6899.19</t>
  </si>
  <si>
    <t>V0047</t>
  </si>
  <si>
    <t>C078</t>
  </si>
  <si>
    <t>64335.32</t>
  </si>
  <si>
    <t>V0048</t>
  </si>
  <si>
    <t>C001</t>
  </si>
  <si>
    <t>20280.67</t>
  </si>
  <si>
    <t>V0049</t>
  </si>
  <si>
    <t>C016</t>
  </si>
  <si>
    <t>P024</t>
  </si>
  <si>
    <t>31652.34</t>
  </si>
  <si>
    <t>V0050</t>
  </si>
  <si>
    <t>59991.57</t>
  </si>
  <si>
    <t>V0051</t>
  </si>
  <si>
    <t>26925.39</t>
  </si>
  <si>
    <t>V0052</t>
  </si>
  <si>
    <t>21362.24</t>
  </si>
  <si>
    <t>V0053</t>
  </si>
  <si>
    <t>C080</t>
  </si>
  <si>
    <t>22551.78</t>
  </si>
  <si>
    <t>V0054</t>
  </si>
  <si>
    <t>11785.42</t>
  </si>
  <si>
    <t>V0055</t>
  </si>
  <si>
    <t>C064</t>
  </si>
  <si>
    <t>16821.44</t>
  </si>
  <si>
    <t>V0056</t>
  </si>
  <si>
    <t>61770.53</t>
  </si>
  <si>
    <t>V0057</t>
  </si>
  <si>
    <t>46110.55</t>
  </si>
  <si>
    <t>V0058</t>
  </si>
  <si>
    <t>17304.98</t>
  </si>
  <si>
    <t>V0059</t>
  </si>
  <si>
    <t>19621.04</t>
  </si>
  <si>
    <t>V0060</t>
  </si>
  <si>
    <t>C041</t>
  </si>
  <si>
    <t>14032.59</t>
  </si>
  <si>
    <t>V0061</t>
  </si>
  <si>
    <t>C054</t>
  </si>
  <si>
    <t>71019.09</t>
  </si>
  <si>
    <t>V0062</t>
  </si>
  <si>
    <t>C003</t>
  </si>
  <si>
    <t>60649.17</t>
  </si>
  <si>
    <t>V0063</t>
  </si>
  <si>
    <t>C069</t>
  </si>
  <si>
    <t>21193.37</t>
  </si>
  <si>
    <t>V0064</t>
  </si>
  <si>
    <t>60907.75</t>
  </si>
  <si>
    <t>V0065</t>
  </si>
  <si>
    <t>6831.69</t>
  </si>
  <si>
    <t>V0066</t>
  </si>
  <si>
    <t>C007</t>
  </si>
  <si>
    <t>35920.91</t>
  </si>
  <si>
    <t>V0067</t>
  </si>
  <si>
    <t>60990.4</t>
  </si>
  <si>
    <t>V0068</t>
  </si>
  <si>
    <t>C009</t>
  </si>
  <si>
    <t>9220.93</t>
  </si>
  <si>
    <t>V0069</t>
  </si>
  <si>
    <t>12234.83</t>
  </si>
  <si>
    <t>V0070</t>
  </si>
  <si>
    <t>C022</t>
  </si>
  <si>
    <t>P020</t>
  </si>
  <si>
    <t>13120.06</t>
  </si>
  <si>
    <t>V0071</t>
  </si>
  <si>
    <t>C040</t>
  </si>
  <si>
    <t>54504.59</t>
  </si>
  <si>
    <t>V0072</t>
  </si>
  <si>
    <t>33550.54</t>
  </si>
  <si>
    <t>V0073</t>
  </si>
  <si>
    <t>33951.6</t>
  </si>
  <si>
    <t>litoral</t>
  </si>
  <si>
    <t>V0074</t>
  </si>
  <si>
    <t>78394.91</t>
  </si>
  <si>
    <t>V0075</t>
  </si>
  <si>
    <t>72261.31</t>
  </si>
  <si>
    <t>V0076</t>
  </si>
  <si>
    <t>74917.2</t>
  </si>
  <si>
    <t>V0077</t>
  </si>
  <si>
    <t>C024</t>
  </si>
  <si>
    <t>44010.09</t>
  </si>
  <si>
    <t>V0078</t>
  </si>
  <si>
    <t>18230.11</t>
  </si>
  <si>
    <t>V0079</t>
  </si>
  <si>
    <t>C061</t>
  </si>
  <si>
    <t>71838.82</t>
  </si>
  <si>
    <t>V0080</t>
  </si>
  <si>
    <t>39530.99</t>
  </si>
  <si>
    <t>V0081</t>
  </si>
  <si>
    <t>C043</t>
  </si>
  <si>
    <t>67354.19</t>
  </si>
  <si>
    <t>V0082</t>
  </si>
  <si>
    <t>14257.31</t>
  </si>
  <si>
    <t>V0083</t>
  </si>
  <si>
    <t>19780.37</t>
  </si>
  <si>
    <t>V0084</t>
  </si>
  <si>
    <t>9289.05</t>
  </si>
  <si>
    <t>V0085</t>
  </si>
  <si>
    <t>C063</t>
  </si>
  <si>
    <t>29608.26</t>
  </si>
  <si>
    <t>V0086</t>
  </si>
  <si>
    <t>C062</t>
  </si>
  <si>
    <t>56363.65</t>
  </si>
  <si>
    <t>V0087</t>
  </si>
  <si>
    <t>C039</t>
  </si>
  <si>
    <t>12210.42</t>
  </si>
  <si>
    <t>V0088</t>
  </si>
  <si>
    <t>C067</t>
  </si>
  <si>
    <t>68023.03</t>
  </si>
  <si>
    <t>V0089</t>
  </si>
  <si>
    <t>C008</t>
  </si>
  <si>
    <t>13823.02</t>
  </si>
  <si>
    <t>V0090</t>
  </si>
  <si>
    <t>C021</t>
  </si>
  <si>
    <t>10548.05</t>
  </si>
  <si>
    <t>V0091</t>
  </si>
  <si>
    <t>C038</t>
  </si>
  <si>
    <t>32066.99</t>
  </si>
  <si>
    <t>V0092</t>
  </si>
  <si>
    <t>C076</t>
  </si>
  <si>
    <t>48993.88</t>
  </si>
  <si>
    <t>V0093</t>
  </si>
  <si>
    <t>29295.24</t>
  </si>
  <si>
    <t>V0094</t>
  </si>
  <si>
    <t>C065</t>
  </si>
  <si>
    <t>62535.18</t>
  </si>
  <si>
    <t>V0095</t>
  </si>
  <si>
    <t>C033</t>
  </si>
  <si>
    <t>24679.67</t>
  </si>
  <si>
    <t>V0096</t>
  </si>
  <si>
    <t>73629.79</t>
  </si>
  <si>
    <t>V0097</t>
  </si>
  <si>
    <t>38635.2</t>
  </si>
  <si>
    <t>V0098</t>
  </si>
  <si>
    <t>31607.74</t>
  </si>
  <si>
    <t>V0099</t>
  </si>
  <si>
    <t>13916.56</t>
  </si>
  <si>
    <t>V0100</t>
  </si>
  <si>
    <t>C070</t>
  </si>
  <si>
    <t>7117.73</t>
  </si>
  <si>
    <t>V0101</t>
  </si>
  <si>
    <t>30434.42</t>
  </si>
  <si>
    <t>V0102</t>
  </si>
  <si>
    <t>C004</t>
  </si>
  <si>
    <t>22824.0</t>
  </si>
  <si>
    <t>V0103</t>
  </si>
  <si>
    <t>84460.64</t>
  </si>
  <si>
    <t>V0104</t>
  </si>
  <si>
    <t>66666.39</t>
  </si>
  <si>
    <t>V0105</t>
  </si>
  <si>
    <t>C066</t>
  </si>
  <si>
    <t>11043.66</t>
  </si>
  <si>
    <t>V0106</t>
  </si>
  <si>
    <t>33417.88</t>
  </si>
  <si>
    <t>V0107</t>
  </si>
  <si>
    <t>40616.46</t>
  </si>
  <si>
    <t>V0108</t>
  </si>
  <si>
    <t>23900.26</t>
  </si>
  <si>
    <t>V0109</t>
  </si>
  <si>
    <t>C049</t>
  </si>
  <si>
    <t>15934.21</t>
  </si>
  <si>
    <t>V0110</t>
  </si>
  <si>
    <t>60888.29</t>
  </si>
  <si>
    <t>V0111</t>
  </si>
  <si>
    <t>41600.98</t>
  </si>
  <si>
    <t>V0112</t>
  </si>
  <si>
    <t>82571.29</t>
  </si>
  <si>
    <t>V0113</t>
  </si>
  <si>
    <t>11696.64</t>
  </si>
  <si>
    <t>V0114</t>
  </si>
  <si>
    <t>43986.78</t>
  </si>
  <si>
    <t>V0115</t>
  </si>
  <si>
    <t>14138.31</t>
  </si>
  <si>
    <t>V0116</t>
  </si>
  <si>
    <t>14481.68</t>
  </si>
  <si>
    <t>V0117</t>
  </si>
  <si>
    <t>13607.72</t>
  </si>
  <si>
    <t>V0118</t>
  </si>
  <si>
    <t>24955.39</t>
  </si>
  <si>
    <t>V0119</t>
  </si>
  <si>
    <t>24977.07</t>
  </si>
  <si>
    <t>V0120</t>
  </si>
  <si>
    <t>81570.82</t>
  </si>
  <si>
    <t>V0121</t>
  </si>
  <si>
    <t>C025</t>
  </si>
  <si>
    <t>16667.93</t>
  </si>
  <si>
    <t>V0122</t>
  </si>
  <si>
    <t>13697.54</t>
  </si>
  <si>
    <t>V0123</t>
  </si>
  <si>
    <t>C026</t>
  </si>
  <si>
    <t>40325.76</t>
  </si>
  <si>
    <t>V0124</t>
  </si>
  <si>
    <t>10482.73</t>
  </si>
  <si>
    <t>V0125</t>
  </si>
  <si>
    <t>30303.52</t>
  </si>
  <si>
    <t>V0126</t>
  </si>
  <si>
    <t>34495.18</t>
  </si>
  <si>
    <t>V0127</t>
  </si>
  <si>
    <t>C042</t>
  </si>
  <si>
    <t>12530.57</t>
  </si>
  <si>
    <t>V0128</t>
  </si>
  <si>
    <t>C018</t>
  </si>
  <si>
    <t>35057.85</t>
  </si>
  <si>
    <t>V0129</t>
  </si>
  <si>
    <t>C050</t>
  </si>
  <si>
    <t>58232.5</t>
  </si>
  <si>
    <t>V0130</t>
  </si>
  <si>
    <t>C079</t>
  </si>
  <si>
    <t>8505.17</t>
  </si>
  <si>
    <t>V0131</t>
  </si>
  <si>
    <t>33835.59</t>
  </si>
  <si>
    <t>V0132</t>
  </si>
  <si>
    <t>6739.6</t>
  </si>
  <si>
    <t>V0133</t>
  </si>
  <si>
    <t>23584.07</t>
  </si>
  <si>
    <t>V0134</t>
  </si>
  <si>
    <t>16181.99</t>
  </si>
  <si>
    <t>V0135</t>
  </si>
  <si>
    <t>C002</t>
  </si>
  <si>
    <t>33217.78</t>
  </si>
  <si>
    <t>V0136</t>
  </si>
  <si>
    <t>11871.66</t>
  </si>
  <si>
    <t>V0137</t>
  </si>
  <si>
    <t>8607.19</t>
  </si>
  <si>
    <t>V0138</t>
  </si>
  <si>
    <t>60163.21</t>
  </si>
  <si>
    <t>V0139</t>
  </si>
  <si>
    <t>14718.09</t>
  </si>
  <si>
    <t>V0140</t>
  </si>
  <si>
    <t>73290.44</t>
  </si>
  <si>
    <t>V0141</t>
  </si>
  <si>
    <t>55577.9</t>
  </si>
  <si>
    <t>V0142</t>
  </si>
  <si>
    <t>38889.34</t>
  </si>
  <si>
    <t>V0143</t>
  </si>
  <si>
    <t>11687.97</t>
  </si>
  <si>
    <t>V0144</t>
  </si>
  <si>
    <t>11600.75</t>
  </si>
  <si>
    <t>V0145</t>
  </si>
  <si>
    <t>18738.81</t>
  </si>
  <si>
    <t>V0146</t>
  </si>
  <si>
    <t>30691.94</t>
  </si>
  <si>
    <t>V0147</t>
  </si>
  <si>
    <t>25049.67</t>
  </si>
  <si>
    <t>V0148</t>
  </si>
  <si>
    <t>48110.39</t>
  </si>
  <si>
    <t>V0149</t>
  </si>
  <si>
    <t>35172.25</t>
  </si>
  <si>
    <t>V0150</t>
  </si>
  <si>
    <t>17364.49</t>
  </si>
  <si>
    <t>V0151</t>
  </si>
  <si>
    <t>70978.85</t>
  </si>
  <si>
    <t>V0152</t>
  </si>
  <si>
    <t>73831.43</t>
  </si>
  <si>
    <t>V0153</t>
  </si>
  <si>
    <t>34534.1</t>
  </si>
  <si>
    <t>V0154</t>
  </si>
  <si>
    <t>50184.83</t>
  </si>
  <si>
    <t>V0155</t>
  </si>
  <si>
    <t>11543.87</t>
  </si>
  <si>
    <t>V0156</t>
  </si>
  <si>
    <t>60620.7</t>
  </si>
  <si>
    <t>V0157</t>
  </si>
  <si>
    <t>81550.26</t>
  </si>
  <si>
    <t>V0158</t>
  </si>
  <si>
    <t>C056</t>
  </si>
  <si>
    <t>11538.47</t>
  </si>
  <si>
    <t>V0159</t>
  </si>
  <si>
    <t>12096.7</t>
  </si>
  <si>
    <t>V0160</t>
  </si>
  <si>
    <t>C019</t>
  </si>
  <si>
    <t>14612.94</t>
  </si>
  <si>
    <t>V0161</t>
  </si>
  <si>
    <t>79587.48</t>
  </si>
  <si>
    <t>V0162</t>
  </si>
  <si>
    <t>35083.21</t>
  </si>
  <si>
    <t>V0163</t>
  </si>
  <si>
    <t>40001.25</t>
  </si>
  <si>
    <t>V0164</t>
  </si>
  <si>
    <t>12446.13</t>
  </si>
  <si>
    <t>V0165</t>
  </si>
  <si>
    <t>C006</t>
  </si>
  <si>
    <t>19966.44</t>
  </si>
  <si>
    <t>V0166</t>
  </si>
  <si>
    <t>11988.83</t>
  </si>
  <si>
    <t>V0167</t>
  </si>
  <si>
    <t>15208.72</t>
  </si>
  <si>
    <t>V0168</t>
  </si>
  <si>
    <t>33909.58</t>
  </si>
  <si>
    <t>V0169</t>
  </si>
  <si>
    <t>15040.16</t>
  </si>
  <si>
    <t>V0170</t>
  </si>
  <si>
    <t>11181.67</t>
  </si>
  <si>
    <t>V0171</t>
  </si>
  <si>
    <t>56690.95</t>
  </si>
  <si>
    <t>V0172</t>
  </si>
  <si>
    <t>24959.83</t>
  </si>
  <si>
    <t>V0173</t>
  </si>
  <si>
    <t>8426.92</t>
  </si>
  <si>
    <t>V0174</t>
  </si>
  <si>
    <t>17180.93</t>
  </si>
  <si>
    <t>V0175</t>
  </si>
  <si>
    <t>66420.27</t>
  </si>
  <si>
    <t>V0176</t>
  </si>
  <si>
    <t>72180.5</t>
  </si>
  <si>
    <t>V0177</t>
  </si>
  <si>
    <t>18018.97</t>
  </si>
  <si>
    <t>V0178</t>
  </si>
  <si>
    <t>11080.16</t>
  </si>
  <si>
    <t>V0179</t>
  </si>
  <si>
    <t>82881.13</t>
  </si>
  <si>
    <t>V0180</t>
  </si>
  <si>
    <t>11452.14</t>
  </si>
  <si>
    <t>V0181</t>
  </si>
  <si>
    <t>7391.79</t>
  </si>
  <si>
    <t>V0182</t>
  </si>
  <si>
    <t>C058</t>
  </si>
  <si>
    <t>9978.68</t>
  </si>
  <si>
    <t>V0183</t>
  </si>
  <si>
    <t>27209.58</t>
  </si>
  <si>
    <t>V0184</t>
  </si>
  <si>
    <t>13363.89</t>
  </si>
  <si>
    <t>V0185</t>
  </si>
  <si>
    <t>14807.82</t>
  </si>
  <si>
    <t>V0186</t>
  </si>
  <si>
    <t>12067.23</t>
  </si>
  <si>
    <t>V0187</t>
  </si>
  <si>
    <t>63823.63</t>
  </si>
  <si>
    <t>V0188</t>
  </si>
  <si>
    <t>22994.45</t>
  </si>
  <si>
    <t>V0189</t>
  </si>
  <si>
    <t>44226.42</t>
  </si>
  <si>
    <t>V0190</t>
  </si>
  <si>
    <t>61435.69</t>
  </si>
  <si>
    <t>V0191</t>
  </si>
  <si>
    <t>66087.35</t>
  </si>
  <si>
    <t>V0192</t>
  </si>
  <si>
    <t>8989.6</t>
  </si>
  <si>
    <t>V0193</t>
  </si>
  <si>
    <t>53378.17</t>
  </si>
  <si>
    <t>V0194</t>
  </si>
  <si>
    <t>48293.02</t>
  </si>
  <si>
    <t>V0195</t>
  </si>
  <si>
    <t>27922.23</t>
  </si>
  <si>
    <t>V0196</t>
  </si>
  <si>
    <t>41484.95</t>
  </si>
  <si>
    <t>V0197</t>
  </si>
  <si>
    <t>18459.4</t>
  </si>
  <si>
    <t>V0198</t>
  </si>
  <si>
    <t>37997.68</t>
  </si>
  <si>
    <t>V0199</t>
  </si>
  <si>
    <t>79806.04</t>
  </si>
  <si>
    <t>V0200</t>
  </si>
  <si>
    <t>24669.43</t>
  </si>
  <si>
    <t>V0201</t>
  </si>
  <si>
    <t>32036.79</t>
  </si>
  <si>
    <t>V0202</t>
  </si>
  <si>
    <t>11771.46</t>
  </si>
  <si>
    <t>V0203</t>
  </si>
  <si>
    <t>33975.28</t>
  </si>
  <si>
    <t>V0204</t>
  </si>
  <si>
    <t>C029</t>
  </si>
  <si>
    <t>14506.78</t>
  </si>
  <si>
    <t>V0205</t>
  </si>
  <si>
    <t>16577.95</t>
  </si>
  <si>
    <t>V0206</t>
  </si>
  <si>
    <t>10418.85</t>
  </si>
  <si>
    <t>V0207</t>
  </si>
  <si>
    <t>17438.15</t>
  </si>
  <si>
    <t>V0208</t>
  </si>
  <si>
    <t>14094.06</t>
  </si>
  <si>
    <t>V0209</t>
  </si>
  <si>
    <t>26045.51</t>
  </si>
  <si>
    <t>V0210</t>
  </si>
  <si>
    <t>14145.03</t>
  </si>
  <si>
    <t>V0211</t>
  </si>
  <si>
    <t>31489.2</t>
  </si>
  <si>
    <t>V0212</t>
  </si>
  <si>
    <t>31393.74</t>
  </si>
  <si>
    <t>V0213</t>
  </si>
  <si>
    <t>7036.3</t>
  </si>
  <si>
    <t>V0214</t>
  </si>
  <si>
    <t>43131.96</t>
  </si>
  <si>
    <t>V0215</t>
  </si>
  <si>
    <t>21033.24</t>
  </si>
  <si>
    <t>V0216</t>
  </si>
  <si>
    <t>51603.68</t>
  </si>
  <si>
    <t>V0217</t>
  </si>
  <si>
    <t>73118.62</t>
  </si>
  <si>
    <t>V0218</t>
  </si>
  <si>
    <t>21893.41</t>
  </si>
  <si>
    <t>V0219</t>
  </si>
  <si>
    <t>8938.2</t>
  </si>
  <si>
    <t>V0220</t>
  </si>
  <si>
    <t>47750.13</t>
  </si>
  <si>
    <t>V0221</t>
  </si>
  <si>
    <t>79839.42</t>
  </si>
  <si>
    <t>V0222</t>
  </si>
  <si>
    <t>43969.58</t>
  </si>
  <si>
    <t>V0223</t>
  </si>
  <si>
    <t>6725.04</t>
  </si>
  <si>
    <t>V0224</t>
  </si>
  <si>
    <t>C059</t>
  </si>
  <si>
    <t>15010.37</t>
  </si>
  <si>
    <t>V0225</t>
  </si>
  <si>
    <t>78431.12</t>
  </si>
  <si>
    <t>V0226</t>
  </si>
  <si>
    <t>58161.38</t>
  </si>
  <si>
    <t>V0227</t>
  </si>
  <si>
    <t>8210.52</t>
  </si>
  <si>
    <t>V0228</t>
  </si>
  <si>
    <t>17832.36</t>
  </si>
  <si>
    <t>V0229</t>
  </si>
  <si>
    <t>20620.38</t>
  </si>
  <si>
    <t>V0230</t>
  </si>
  <si>
    <t>46774.1</t>
  </si>
  <si>
    <t>V0231</t>
  </si>
  <si>
    <t>42326.99</t>
  </si>
  <si>
    <t>V0232</t>
  </si>
  <si>
    <t>24529.33</t>
  </si>
  <si>
    <t>V0233</t>
  </si>
  <si>
    <t>40734.73</t>
  </si>
  <si>
    <t>V0234</t>
  </si>
  <si>
    <t>46173.6</t>
  </si>
  <si>
    <t>V0235</t>
  </si>
  <si>
    <t>32484.95</t>
  </si>
  <si>
    <t>V0236</t>
  </si>
  <si>
    <t>13802.93</t>
  </si>
  <si>
    <t>V0237</t>
  </si>
  <si>
    <t>17986.33</t>
  </si>
  <si>
    <t>V0238</t>
  </si>
  <si>
    <t>15446.13</t>
  </si>
  <si>
    <t>V0239</t>
  </si>
  <si>
    <t>9105.91</t>
  </si>
  <si>
    <t>V0240</t>
  </si>
  <si>
    <t>9352.19</t>
  </si>
  <si>
    <t>V0241</t>
  </si>
  <si>
    <t>13743.8</t>
  </si>
  <si>
    <t>V0242</t>
  </si>
  <si>
    <t>67402.78</t>
  </si>
  <si>
    <t>V0243</t>
  </si>
  <si>
    <t>8633.07</t>
  </si>
  <si>
    <t>V0244</t>
  </si>
  <si>
    <t>56823.74</t>
  </si>
  <si>
    <t>V0245</t>
  </si>
  <si>
    <t>17650.27</t>
  </si>
  <si>
    <t>V0246</t>
  </si>
  <si>
    <t>7321.89</t>
  </si>
  <si>
    <t>V0247</t>
  </si>
  <si>
    <t>60162.74</t>
  </si>
  <si>
    <t>V0248</t>
  </si>
  <si>
    <t>15839.56</t>
  </si>
  <si>
    <t>V0249</t>
  </si>
  <si>
    <t>23207.29</t>
  </si>
  <si>
    <t>V0250</t>
  </si>
  <si>
    <t>C047</t>
  </si>
  <si>
    <t>10155.68</t>
  </si>
  <si>
    <t>V0251</t>
  </si>
  <si>
    <t>C020</t>
  </si>
  <si>
    <t>63440.87</t>
  </si>
  <si>
    <t>V0252</t>
  </si>
  <si>
    <t>16033.13</t>
  </si>
  <si>
    <t>V0253</t>
  </si>
  <si>
    <t>51724.64</t>
  </si>
  <si>
    <t>V0254</t>
  </si>
  <si>
    <t>12140.42</t>
  </si>
  <si>
    <t>V0255</t>
  </si>
  <si>
    <t>54070.71</t>
  </si>
  <si>
    <t>V0256</t>
  </si>
  <si>
    <t>16807.51</t>
  </si>
  <si>
    <t>V0257</t>
  </si>
  <si>
    <t>23744.29</t>
  </si>
  <si>
    <t>V0258</t>
  </si>
  <si>
    <t>19421.69</t>
  </si>
  <si>
    <t>V0259</t>
  </si>
  <si>
    <t>7264.24</t>
  </si>
  <si>
    <t>V0260</t>
  </si>
  <si>
    <t>7275.47</t>
  </si>
  <si>
    <t>V0261</t>
  </si>
  <si>
    <t>27173.57</t>
  </si>
  <si>
    <t>V0262</t>
  </si>
  <si>
    <t>18641.04</t>
  </si>
  <si>
    <t>V0263</t>
  </si>
  <si>
    <t>16655.48</t>
  </si>
  <si>
    <t>V0264</t>
  </si>
  <si>
    <t>54731.47</t>
  </si>
  <si>
    <t>V0265</t>
  </si>
  <si>
    <t>17647.88</t>
  </si>
  <si>
    <t>V0266</t>
  </si>
  <si>
    <t>19476.77</t>
  </si>
  <si>
    <t>V0267</t>
  </si>
  <si>
    <t>7340.95</t>
  </si>
  <si>
    <t>V0268</t>
  </si>
  <si>
    <t>21128.34</t>
  </si>
  <si>
    <t>V0269</t>
  </si>
  <si>
    <t>22719.81</t>
  </si>
  <si>
    <t>V0270</t>
  </si>
  <si>
    <t>37256.23</t>
  </si>
  <si>
    <t>V0271</t>
  </si>
  <si>
    <t>37318.32</t>
  </si>
  <si>
    <t>V0272</t>
  </si>
  <si>
    <t>52521.01</t>
  </si>
  <si>
    <t>V0273</t>
  </si>
  <si>
    <t>36551.11</t>
  </si>
  <si>
    <t>V0274</t>
  </si>
  <si>
    <t>65156.41</t>
  </si>
  <si>
    <t>V0275</t>
  </si>
  <si>
    <t>17850.85</t>
  </si>
  <si>
    <t>V0276</t>
  </si>
  <si>
    <t>33834.21</t>
  </si>
  <si>
    <t>V0277</t>
  </si>
  <si>
    <t>46981.69</t>
  </si>
  <si>
    <t>V0278</t>
  </si>
  <si>
    <t>62510.58</t>
  </si>
  <si>
    <t>V0279</t>
  </si>
  <si>
    <t>33187.47</t>
  </si>
  <si>
    <t>V0280</t>
  </si>
  <si>
    <t>19807.81</t>
  </si>
  <si>
    <t>V0281</t>
  </si>
  <si>
    <t>8357.42</t>
  </si>
  <si>
    <t>V0282</t>
  </si>
  <si>
    <t>7234.16</t>
  </si>
  <si>
    <t>V0283</t>
  </si>
  <si>
    <t>7095.02</t>
  </si>
  <si>
    <t>V0284</t>
  </si>
  <si>
    <t>16313.05</t>
  </si>
  <si>
    <t>V0285</t>
  </si>
  <si>
    <t>11973.28</t>
  </si>
  <si>
    <t>V0286</t>
  </si>
  <si>
    <t>65692.4</t>
  </si>
  <si>
    <t>V0287</t>
  </si>
  <si>
    <t>55192.63</t>
  </si>
  <si>
    <t>V0288</t>
  </si>
  <si>
    <t>11009.4</t>
  </si>
  <si>
    <t>V0289</t>
  </si>
  <si>
    <t>9202.57</t>
  </si>
  <si>
    <t>V0290</t>
  </si>
  <si>
    <t>55524.89</t>
  </si>
  <si>
    <t>V0291</t>
  </si>
  <si>
    <t>12371.27</t>
  </si>
  <si>
    <t>V0292</t>
  </si>
  <si>
    <t>21809.63</t>
  </si>
  <si>
    <t>V0293</t>
  </si>
  <si>
    <t>13549.23</t>
  </si>
  <si>
    <t>V0294</t>
  </si>
  <si>
    <t>22905.82</t>
  </si>
  <si>
    <t>V0295</t>
  </si>
  <si>
    <t>9218.75</t>
  </si>
  <si>
    <t>V0296</t>
  </si>
  <si>
    <t>14858.4</t>
  </si>
  <si>
    <t>V0297</t>
  </si>
  <si>
    <t>84984.41</t>
  </si>
  <si>
    <t>V0298</t>
  </si>
  <si>
    <t>21958.79</t>
  </si>
  <si>
    <t>V0299</t>
  </si>
  <si>
    <t>80681.44</t>
  </si>
  <si>
    <t>V0300</t>
  </si>
  <si>
    <t>17148.1</t>
  </si>
  <si>
    <t>V0301</t>
  </si>
  <si>
    <t>57378.26</t>
  </si>
  <si>
    <t>V0302</t>
  </si>
  <si>
    <t>35295.47</t>
  </si>
  <si>
    <t>V0303</t>
  </si>
  <si>
    <t>9943.67</t>
  </si>
  <si>
    <t>V0304</t>
  </si>
  <si>
    <t>20880.93</t>
  </si>
  <si>
    <t>V0305</t>
  </si>
  <si>
    <t>7932.45</t>
  </si>
  <si>
    <t>V0306</t>
  </si>
  <si>
    <t>80342.03</t>
  </si>
  <si>
    <t>V0307</t>
  </si>
  <si>
    <t>68568.41</t>
  </si>
  <si>
    <t>V0308</t>
  </si>
  <si>
    <t>12703.36</t>
  </si>
  <si>
    <t>V0309</t>
  </si>
  <si>
    <t>65487.94</t>
  </si>
  <si>
    <t>V0310</t>
  </si>
  <si>
    <t>20908.87</t>
  </si>
  <si>
    <t>V0311</t>
  </si>
  <si>
    <t>12290.22</t>
  </si>
  <si>
    <t>V0312</t>
  </si>
  <si>
    <t>73851.19</t>
  </si>
  <si>
    <t>V0313</t>
  </si>
  <si>
    <t>44668.15</t>
  </si>
  <si>
    <t>V0314</t>
  </si>
  <si>
    <t>12682.54</t>
  </si>
  <si>
    <t>V0315</t>
  </si>
  <si>
    <t>16019.75</t>
  </si>
  <si>
    <t>V0316</t>
  </si>
  <si>
    <t>16263.12</t>
  </si>
  <si>
    <t>V0317</t>
  </si>
  <si>
    <t>46135.42</t>
  </si>
  <si>
    <t>V0318</t>
  </si>
  <si>
    <t>60135.82</t>
  </si>
  <si>
    <t>V0319</t>
  </si>
  <si>
    <t>25088.39</t>
  </si>
  <si>
    <t>V0320</t>
  </si>
  <si>
    <t>12271.04</t>
  </si>
  <si>
    <t>V0321</t>
  </si>
  <si>
    <t>24884.75</t>
  </si>
  <si>
    <t>V0322</t>
  </si>
  <si>
    <t>82391.85</t>
  </si>
  <si>
    <t>V0323</t>
  </si>
  <si>
    <t>49994.94</t>
  </si>
  <si>
    <t>V0324</t>
  </si>
  <si>
    <t>30927.48</t>
  </si>
  <si>
    <t>V0325</t>
  </si>
  <si>
    <t>10461.34</t>
  </si>
  <si>
    <t>V0326</t>
  </si>
  <si>
    <t>44433.05</t>
  </si>
  <si>
    <t>V0327</t>
  </si>
  <si>
    <t>55586.44</t>
  </si>
  <si>
    <t>V0328</t>
  </si>
  <si>
    <t>41030.99</t>
  </si>
  <si>
    <t>V0329</t>
  </si>
  <si>
    <t>51008.58</t>
  </si>
  <si>
    <t>V0330</t>
  </si>
  <si>
    <t>16325.1</t>
  </si>
  <si>
    <t>V0331</t>
  </si>
  <si>
    <t>6942.89</t>
  </si>
  <si>
    <t>V0332</t>
  </si>
  <si>
    <t>26395.42</t>
  </si>
  <si>
    <t>V0333</t>
  </si>
  <si>
    <t>13485.87</t>
  </si>
  <si>
    <t>V0334</t>
  </si>
  <si>
    <t>62471.85</t>
  </si>
  <si>
    <t>V0335</t>
  </si>
  <si>
    <t>44276.1</t>
  </si>
  <si>
    <t>V0336</t>
  </si>
  <si>
    <t>10327.25</t>
  </si>
  <si>
    <t>V0337</t>
  </si>
  <si>
    <t>8284.48</t>
  </si>
  <si>
    <t>V0338</t>
  </si>
  <si>
    <t>82257.05</t>
  </si>
  <si>
    <t>V0339</t>
  </si>
  <si>
    <t>43916.86</t>
  </si>
  <si>
    <t>V0340</t>
  </si>
  <si>
    <t>32812.34</t>
  </si>
  <si>
    <t>V0341</t>
  </si>
  <si>
    <t>52527.85</t>
  </si>
  <si>
    <t>V0342</t>
  </si>
  <si>
    <t>12087.11</t>
  </si>
  <si>
    <t>V0343</t>
  </si>
  <si>
    <t>17410.25</t>
  </si>
  <si>
    <t>V0344</t>
  </si>
  <si>
    <t>9218.36</t>
  </si>
  <si>
    <t>V0345</t>
  </si>
  <si>
    <t>48361.46</t>
  </si>
  <si>
    <t>V0346</t>
  </si>
  <si>
    <t>24770.95</t>
  </si>
  <si>
    <t>V0347</t>
  </si>
  <si>
    <t>61020.69</t>
  </si>
  <si>
    <t>V0348</t>
  </si>
  <si>
    <t>7453.64</t>
  </si>
  <si>
    <t>V0349</t>
  </si>
  <si>
    <t>40217.47</t>
  </si>
  <si>
    <t>V0350</t>
  </si>
  <si>
    <t>52067.22</t>
  </si>
  <si>
    <t>V0351</t>
  </si>
  <si>
    <t>33765.06</t>
  </si>
  <si>
    <t>V0352</t>
  </si>
  <si>
    <t>10845.59</t>
  </si>
  <si>
    <t>V0353</t>
  </si>
  <si>
    <t>64740.43</t>
  </si>
  <si>
    <t>V0354</t>
  </si>
  <si>
    <t>20663.65</t>
  </si>
  <si>
    <t>V0355</t>
  </si>
  <si>
    <t>7094.99</t>
  </si>
  <si>
    <t>V0356</t>
  </si>
  <si>
    <t>12189.8</t>
  </si>
  <si>
    <t>V0357</t>
  </si>
  <si>
    <t>21014.5</t>
  </si>
  <si>
    <t>V0358</t>
  </si>
  <si>
    <t>47217.45</t>
  </si>
  <si>
    <t>V0359</t>
  </si>
  <si>
    <t>63348.07</t>
  </si>
  <si>
    <t>V0360</t>
  </si>
  <si>
    <t>17128.32</t>
  </si>
  <si>
    <t>Cliente</t>
  </si>
  <si>
    <t>Segmento</t>
  </si>
  <si>
    <t>Provincia</t>
  </si>
  <si>
    <t>Ciudad</t>
  </si>
  <si>
    <t>Nova 1</t>
  </si>
  <si>
    <t>PyME</t>
  </si>
  <si>
    <t>Salta</t>
  </si>
  <si>
    <t>Orion 2</t>
  </si>
  <si>
    <t>Minorista</t>
  </si>
  <si>
    <t>Córdoba</t>
  </si>
  <si>
    <t>Punto 3</t>
  </si>
  <si>
    <t>Santa Fe</t>
  </si>
  <si>
    <t>Rosario</t>
  </si>
  <si>
    <t>Punto 4</t>
  </si>
  <si>
    <t>Corporativo</t>
  </si>
  <si>
    <t>Buenos Aires</t>
  </si>
  <si>
    <t>La Plata</t>
  </si>
  <si>
    <t>Delta 5</t>
  </si>
  <si>
    <t>Nova 6</t>
  </si>
  <si>
    <t>Tucumán</t>
  </si>
  <si>
    <t>San Miguel de Tucumán</t>
  </si>
  <si>
    <t>Nova 7</t>
  </si>
  <si>
    <t>Neuquén</t>
  </si>
  <si>
    <t>Delta 8</t>
  </si>
  <si>
    <t>Gamma 9</t>
  </si>
  <si>
    <t>Mendoza</t>
  </si>
  <si>
    <t>Gamma 10</t>
  </si>
  <si>
    <t>Nexo 11</t>
  </si>
  <si>
    <t>Punto 12</t>
  </si>
  <si>
    <t>Delta 13</t>
  </si>
  <si>
    <t>Nexo 14</t>
  </si>
  <si>
    <t>Beta 15</t>
  </si>
  <si>
    <t>Orion 16</t>
  </si>
  <si>
    <t>Nova 17</t>
  </si>
  <si>
    <t>Delta 18</t>
  </si>
  <si>
    <t>Atlas 19</t>
  </si>
  <si>
    <t>Sigma 20</t>
  </si>
  <si>
    <t>Punto 21</t>
  </si>
  <si>
    <t>Beta 22</t>
  </si>
  <si>
    <t>Gamma 23</t>
  </si>
  <si>
    <t>Alfa 24</t>
  </si>
  <si>
    <t>Delta 25</t>
  </si>
  <si>
    <t>Beta 26</t>
  </si>
  <si>
    <t>Beta 27</t>
  </si>
  <si>
    <t>Delta 28</t>
  </si>
  <si>
    <t>Gamma 29</t>
  </si>
  <si>
    <t>Entre Ríos</t>
  </si>
  <si>
    <t>Paraná</t>
  </si>
  <si>
    <t>C030</t>
  </si>
  <si>
    <t>Beta 30</t>
  </si>
  <si>
    <t>Alfa 31</t>
  </si>
  <si>
    <t>Punto 32</t>
  </si>
  <si>
    <t>Punto 33</t>
  </si>
  <si>
    <t>Gamma 34</t>
  </si>
  <si>
    <t>Gamma 35</t>
  </si>
  <si>
    <t>Nexo 36</t>
  </si>
  <si>
    <t>Orion 37</t>
  </si>
  <si>
    <t>Sigma 38</t>
  </si>
  <si>
    <t>Atlas 39</t>
  </si>
  <si>
    <t>Beta 40</t>
  </si>
  <si>
    <t>Gamma 41</t>
  </si>
  <si>
    <t>Atlas 42</t>
  </si>
  <si>
    <t>Punto 43</t>
  </si>
  <si>
    <t>Nexo 44</t>
  </si>
  <si>
    <t>Nova 45</t>
  </si>
  <si>
    <t>Punto 46</t>
  </si>
  <si>
    <t>Alfa 47</t>
  </si>
  <si>
    <t>Alfa 48</t>
  </si>
  <si>
    <t>Nexo 49</t>
  </si>
  <si>
    <t>Orion 50</t>
  </si>
  <si>
    <t>Beta 51</t>
  </si>
  <si>
    <t>Sigma 52</t>
  </si>
  <si>
    <t>Delta 53</t>
  </si>
  <si>
    <t>Nova 54</t>
  </si>
  <si>
    <t>Delta 55</t>
  </si>
  <si>
    <t>Nova 56</t>
  </si>
  <si>
    <t>Nova 57</t>
  </si>
  <si>
    <t>Orion 58</t>
  </si>
  <si>
    <t>Atlas 59</t>
  </si>
  <si>
    <t>Nexo 60</t>
  </si>
  <si>
    <t>Alfa 61</t>
  </si>
  <si>
    <t>Alfa 62</t>
  </si>
  <si>
    <t>Alfa 63</t>
  </si>
  <si>
    <t>Gamma 64</t>
  </si>
  <si>
    <t>Nova 65</t>
  </si>
  <si>
    <t>Gamma 66</t>
  </si>
  <si>
    <t>Beta 67</t>
  </si>
  <si>
    <t>Beta 68</t>
  </si>
  <si>
    <t>Orion 69</t>
  </si>
  <si>
    <t>Sigma 70</t>
  </si>
  <si>
    <t>Gamma 71</t>
  </si>
  <si>
    <t>Nexo 72</t>
  </si>
  <si>
    <t>Gamma 73</t>
  </si>
  <si>
    <t>Delta 74</t>
  </si>
  <si>
    <t>Punto 75</t>
  </si>
  <si>
    <t>Gamma 76</t>
  </si>
  <si>
    <t>Orion 77</t>
  </si>
  <si>
    <t>Gamma 78</t>
  </si>
  <si>
    <t>Orion 79</t>
  </si>
  <si>
    <t>Nexo 80</t>
  </si>
  <si>
    <t>Producto</t>
  </si>
  <si>
    <t>Categoria</t>
  </si>
  <si>
    <t>Marca</t>
  </si>
  <si>
    <t>PrecioLista</t>
  </si>
  <si>
    <t>CostoBase</t>
  </si>
  <si>
    <t>Producto 01</t>
  </si>
  <si>
    <t>Tecnología</t>
  </si>
  <si>
    <t>Aster</t>
  </si>
  <si>
    <t>Producto 02</t>
  </si>
  <si>
    <t>Oficina</t>
  </si>
  <si>
    <t>Producto 03</t>
  </si>
  <si>
    <t>Accesorios</t>
  </si>
  <si>
    <t>Kronos</t>
  </si>
  <si>
    <t>Producto 04</t>
  </si>
  <si>
    <t>Muebles</t>
  </si>
  <si>
    <t>Producto 05</t>
  </si>
  <si>
    <t>Producto 06</t>
  </si>
  <si>
    <t>NovaTech</t>
  </si>
  <si>
    <t>Producto 07</t>
  </si>
  <si>
    <t>Delta</t>
  </si>
  <si>
    <t>Producto 08</t>
  </si>
  <si>
    <t>Producto 09</t>
  </si>
  <si>
    <t>Producto 10</t>
  </si>
  <si>
    <t>Prisma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</si>
  <si>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</si>
  <si>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</si>
  <si>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</si>
  <si>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</si>
  <si>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</si>
  <si>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</si>
  <si>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</si>
  <si>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</si>
  <si>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</si>
  <si>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</si>
  <si>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</si>
  <si>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</si>
  <si>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</si>
  <si>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</si>
  <si>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Año</t>
  </si>
  <si>
    <t>MesNumero</t>
  </si>
  <si>
    <t>Mes</t>
  </si>
  <si>
    <t>Trimestre</t>
  </si>
  <si>
    <t>DiaSemana</t>
  </si>
  <si>
    <t>Enero</t>
  </si>
  <si>
    <t>T1</t>
  </si>
  <si>
    <t>Jueves</t>
  </si>
  <si>
    <t>Viernes</t>
  </si>
  <si>
    <t>Sábado</t>
  </si>
  <si>
    <t>Domingo</t>
  </si>
  <si>
    <t>Lunes</t>
  </si>
  <si>
    <t>Martes</t>
  </si>
  <si>
    <t>Miércoles</t>
  </si>
  <si>
    <t>Febrero</t>
  </si>
  <si>
    <t>Marzo</t>
  </si>
  <si>
    <t>Abril</t>
  </si>
  <si>
    <t>T2</t>
  </si>
  <si>
    <t>Mayo</t>
  </si>
  <si>
    <t>Junio</t>
  </si>
  <si>
    <t>Julio</t>
  </si>
  <si>
    <t>T3</t>
  </si>
  <si>
    <t>Agosto</t>
  </si>
  <si>
    <t>Septiembre</t>
  </si>
  <si>
    <t>Octubre</t>
  </si>
  <si>
    <t>T4</t>
  </si>
  <si>
    <t>Noviembre</t>
  </si>
  <si>
    <t>Diciembre</t>
  </si>
  <si>
    <t>DASHBOARD EJECUTIVO - ANÁLISIS DE VENTAS</t>
  </si>
  <si>
    <t>VENTAS TOTALES</t>
  </si>
  <si>
    <t>TotalVentas</t>
  </si>
  <si>
    <t>MARGEN NETO</t>
  </si>
  <si>
    <t>MargenNeto</t>
  </si>
  <si>
    <t>%Margen</t>
  </si>
  <si>
    <t>% MARGEN</t>
  </si>
  <si>
    <t>CantidadVentas</t>
  </si>
  <si>
    <t>CANTIDAD DE VENTAS</t>
  </si>
  <si>
    <t>Etiquetas de fila</t>
  </si>
  <si>
    <t>Total general</t>
  </si>
  <si>
    <t>Concepto</t>
  </si>
  <si>
    <t>Valor</t>
  </si>
  <si>
    <t>Ventas</t>
  </si>
  <si>
    <t>Costos</t>
  </si>
  <si>
    <t>Margen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</si>
</sst>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\ #,##0.00"/>
    <numFmt numFmtId="165" formatCode="dd/mm/yyyy"/>
    <numFmt numFmtId="170" formatCode="\$\ #,##0;\-\$\ #,##0;\$\ #,##0"/>
    <numFmt numFmtId="174" formatCode="&quot;$&quot;\ #,##0"/>
    <numFmt numFmtId="175" formatCode="\$\ #,##0.0;\-\$\ #,##0.0;\$\ #,##0.0"/>
  </numFmts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20"/>
      <color theme="1"/>
      <name val="Arial Unicode MS"/>
    </font>
    <font>
      <b/>
      <sz val="20"/>
      <color theme="1"/>
      <name val="Calibri"/>
      <family val="2"/>
      <scheme val="minor"/>
    </font>
    <font>
      <b/>
      <sz val="22"/>
      <color theme="1"/>
      <name val="Arial Unicode MS"/>
    </font>
    <font>
      <b/>
      <sz val="24"/>
      <color theme="1"/>
      <name val="Arial Unicode MS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Arial Unicode MS"/>
    </font>
    <font>
      <b/>
      <sz val="26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1" fillId="0" borderId="0"/>
  </cellStyleXfs>
  <cellXfs count="54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Continuous"/>
    </xf>
    <xf numFmtId="0" fontId="5" fillId="0" borderId="0" xfId="0" applyFont="1"/>
    <xf numFmtId="9" fontId="2" fillId="0" borderId="0" xfId="0" applyNumberFormat="1" applyFont="1"/>
    <xf numFmtId="9" fontId="0" fillId="0" borderId="0" xfId="0" applyNumberFormat="1" applyFill="1" applyBorder="1" applyAlignment="1"/>
    <xf numFmtId="0" fontId="6" fillId="2" borderId="5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/>
    </xf>
    <xf numFmtId="9" fontId="0" fillId="4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0" fillId="0" borderId="6" xfId="0" applyFont="1" applyBorder="1"/>
    <xf numFmtId="0" fontId="1" fillId="5" borderId="7" xfId="0" applyFont="1" applyFill="1" applyBorder="1"/>
    <xf numFmtId="0" fontId="0" fillId="6" borderId="7" xfId="0" applyFont="1" applyFill="1" applyBorder="1"/>
    <xf numFmtId="0" fontId="0" fillId="0" borderId="7" xfId="0" applyFont="1" applyBorder="1"/>
    <xf numFmtId="14" fontId="0" fillId="0" borderId="0" xfId="0" applyNumberFormat="1" applyFont="1"/>
    <xf numFmtId="0" fontId="12" fillId="7" borderId="0" xfId="1" applyFont="1" applyFill="1" applyAlignment="1">
      <alignment horizontal="center"/>
    </xf>
    <xf numFmtId="0" fontId="11" fillId="0" borderId="0" xfId="1"/>
    <xf numFmtId="0" fontId="11" fillId="0" borderId="0" xfId="1" applyFont="1"/>
    <xf numFmtId="164" fontId="11" fillId="0" borderId="0" xfId="1" applyNumberFormat="1"/>
    <xf numFmtId="165" fontId="11" fillId="0" borderId="0" xfId="1" applyNumberFormat="1"/>
    <xf numFmtId="0" fontId="0" fillId="0" borderId="0" xfId="0" applyAlignment="1">
      <alignment horizontal="center"/>
    </xf>
    <xf numFmtId="0" fontId="0" fillId="0" borderId="0" xfId="0" applyAlignment="1"/>
    <xf numFmtId="0" fontId="13" fillId="0" borderId="0" xfId="0" applyFont="1" applyAlignment="1">
      <alignment horizontal="center"/>
    </xf>
    <xf numFmtId="170" fontId="0" fillId="0" borderId="0" xfId="0" applyNumberFormat="1"/>
    <xf numFmtId="0" fontId="13" fillId="0" borderId="0" xfId="0" applyFont="1" applyAlignment="1">
      <alignment horizontal="center" vertical="center"/>
    </xf>
    <xf numFmtId="175" fontId="0" fillId="0" borderId="0" xfId="0" applyNumberFormat="1"/>
    <xf numFmtId="10" fontId="2" fillId="0" borderId="0" xfId="0" applyNumberFormat="1" applyFont="1" applyAlignment="1">
      <alignment vertical="center"/>
    </xf>
    <xf numFmtId="0" fontId="0" fillId="0" borderId="0" xfId="0" applyNumberFormat="1"/>
    <xf numFmtId="0" fontId="20" fillId="0" borderId="0" xfId="0" applyFont="1" applyAlignment="1">
      <alignment horizont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174" fontId="17" fillId="0" borderId="0" xfId="0" applyNumberFormat="1" applyFont="1" applyAlignment="1">
      <alignment horizontal="center" vertical="center"/>
    </xf>
    <xf numFmtId="174" fontId="17" fillId="0" borderId="0" xfId="0" applyNumberFormat="1" applyFont="1" applyAlignment="1">
      <alignment horizontal="center"/>
    </xf>
    <xf numFmtId="174" fontId="18" fillId="0" borderId="0" xfId="0" applyNumberFormat="1" applyFont="1" applyAlignment="1">
      <alignment horizontal="center"/>
    </xf>
    <xf numFmtId="174" fontId="15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0" fontId="2" fillId="0" borderId="0" xfId="0" applyNumberFormat="1" applyFont="1"/>
    <xf numFmtId="175" fontId="2" fillId="0" borderId="0" xfId="0" applyNumberFormat="1" applyFont="1"/>
  </cellXfs>
  <cellStyles count="2">
    <cellStyle name="Normal" xfId="0" builtinId="0"/>
    <cellStyle name="Normal 2" xfId="1" xr:uid="{E889B847-ABEF-4E21-AF0F-C409DB268BA9}"/>
  </cellStyles>
  <dxfs count="1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[PreEntrega_DashboardFinal_BritoMarcuus.xlsx]Soporte_Dashboard!TablaDinámica2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/>
              <a:t>La categoría Muebles lidera las ventas</a:t>
            </a:r>
            <a:endParaRPr lang="en-US" b="1"/>
          </a:p>
        </c:rich>
      </c:tx>
      <c:layout>
        <c:manualLayout>
          <c:xMode val="edge"/>
          <c:yMode val="edge"/>
          <c:x val="0.18943066491688543"/>
          <c:y val="6.8423738699329245E-2"/>
        </c:manualLayout>
      </c:layout>
      <c:overlay val="0"/>
      <c:spPr>
        <a:noFill/>
        <a:ln>
          <a:solidFill>
            <a:schemeClr val="accent6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Soporte_Dashboard!$B$6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Soporte_Dashboard!$A$7:$A$11</c:f>
              <c:strCache>
                <c:ptCount val="4"/>
                <c:pt idx="0">
                  <c:v>Accesorios</c:v>
                </c:pt>
                <c:pt idx="1">
                  <c:v>Muebles</c:v>
                </c:pt>
                <c:pt idx="2">
                  <c:v>Oficina</c:v>
                </c:pt>
                <c:pt idx="3">
                  <c:v>Tecnología</c:v>
                </c:pt>
              </c:strCache>
            </c:strRef>
          </c:cat>
          <c:val>
            <c:numRef>
              <c:f>Soporte_Dashboard!$B$7:$B$11</c:f>
              <c:numCache>
                <c:formatCode>\$\ #,##0;\-\$\ #,##0;\$\ #,##0</c:formatCode>
                <c:ptCount val="4"/>
                <c:pt idx="0">
                  <c:v>28203150</c:v>
                </c:pt>
                <c:pt idx="1">
                  <c:v>29260950</c:v>
                </c:pt>
                <c:pt idx="2">
                  <c:v>27458250</c:v>
                </c:pt>
                <c:pt idx="3">
                  <c:v>24667600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D-435D-A83F-EF93ED9DD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587839"/>
        <c:axId val="1478589919"/>
      </c:barChart>
      <c:catAx>
        <c:axId val="147858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8589919"/>
        <c:crosses val="autoZero"/>
        <c:auto val="1"/>
        <c:lblAlgn val="ctr"/>
        <c:lblOffset val="100"/>
        <c:noMultiLvlLbl val="0"/>
      </c:catAx>
      <c:valAx>
        <c:axId val="147858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858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[PreEntrega_DashboardFinal_BritoMarcuus.xlsx]Soporte_Dashboard!TablaDinámica3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/>
              <a:t>Las ventas alcanzan su pico hacia fin de año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Soporte_Dashboard!$F$6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Soporte_Dashboard!$E$7:$E$19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Soporte_Dashboard!$F$7:$F$19</c:f>
              <c:numCache>
                <c:formatCode>\$\ #,##0;\-\$\ #,##0;\$\ #,##0</c:formatCode>
                <c:ptCount val="12"/>
                <c:pt idx="0">
                  <c:v>11340400</c:v>
                </c:pt>
                <c:pt idx="1">
                  <c:v>10488150</c:v>
                </c:pt>
                <c:pt idx="2">
                  <c:v>10301200</c:v>
                </c:pt>
                <c:pt idx="3">
                  <c:v>8917600</c:v>
                </c:pt>
                <c:pt idx="4">
                  <c:v>9655500</c:v>
                </c:pt>
                <c:pt idx="5">
                  <c:v>6225800</c:v>
                </c:pt>
                <c:pt idx="6">
                  <c:v>8003550</c:v>
                </c:pt>
                <c:pt idx="7">
                  <c:v>8996950</c:v>
                </c:pt>
                <c:pt idx="8">
                  <c:v>5056900</c:v>
                </c:pt>
                <c:pt idx="9">
                  <c:v>10756200</c:v>
                </c:pt>
                <c:pt idx="10">
                  <c:v>8167700</c:v>
                </c:pt>
                <c:pt idx="11">
                  <c:v>11680000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0-4EBC-8A53-85491AA23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05839"/>
        <c:axId val="71402511"/>
      </c:lineChart>
      <c:catAx>
        <c:axId val="714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402511"/>
        <c:crosses val="autoZero"/>
        <c:auto val="1"/>
        <c:lblAlgn val="ctr"/>
        <c:lblOffset val="100"/>
        <c:noMultiLvlLbl val="0"/>
      </c:catAx>
      <c:valAx>
        <c:axId val="7140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4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AR"/>
              <a:t>Los costos reducen significativamente el margen final</a:t>
            </a:r>
          </a:p>
          <a:p>
            <a:pPr algn="ctr" rtl="0">
              <a:defRPr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EB305FCF-76E4-47AC-98A3-2E7474510C7D}">
          <cx:tx>
            <cx:txData>
              <cx:f>_xlchart.v1.1</cx:f>
              <cx:v>Valor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spPr>
    <a:solidFill>
      <a:schemeClr val="bg1">
        <a:lumMod val="75000"/>
      </a:schemeClr>
    </a:solidFill>
    <a:ln>
      <a:solidFill>
        <a:schemeClr val="bg1">
          <a:lumMod val="6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114300</xdr:rowOff>
    </xdr:from>
    <xdr:to>
      <xdr:col>6</xdr:col>
      <xdr:colOff>66675</xdr:colOff>
      <xdr:row>25</xdr:row>
      <xdr:rowOff>0</xdr:rowOff>
    </xdr:to>
    <xdr:graphicFrame macro="">
      <xdr:nvGraphicFramePr>
        <xdr:cNvPr id="4" name="PT_Categoria">
          <a:extLst>
            <a:ext uri="{FF2B5EF4-FFF2-40B4-BE49-F238E27FC236}">
              <a16:creationId xmlns:a16="http://schemas.microsoft.com/office/drawing/2014/main" id="{E0386B9E-8E9A-4D55-BD31-C7EB4F744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10</xdr:row>
      <xdr:rowOff>114300</xdr:rowOff>
    </xdr:from>
    <xdr:to>
      <xdr:col>12</xdr:col>
      <xdr:colOff>76200</xdr:colOff>
      <xdr:row>25</xdr:row>
      <xdr:rowOff>0</xdr:rowOff>
    </xdr:to>
    <xdr:graphicFrame macro="">
      <xdr:nvGraphicFramePr>
        <xdr:cNvPr id="5" name="PT_Mensual">
          <a:extLst>
            <a:ext uri="{FF2B5EF4-FFF2-40B4-BE49-F238E27FC236}">
              <a16:creationId xmlns:a16="http://schemas.microsoft.com/office/drawing/2014/main" id="{C55EEA8A-701C-4840-BACF-E723488DA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733425</xdr:colOff>
      <xdr:row>10</xdr:row>
      <xdr:rowOff>133350</xdr:rowOff>
    </xdr:from>
    <xdr:to>
      <xdr:col>20</xdr:col>
      <xdr:colOff>276225</xdr:colOff>
      <xdr:row>23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es">
              <a:extLst>
                <a:ext uri="{FF2B5EF4-FFF2-40B4-BE49-F238E27FC236}">
                  <a16:creationId xmlns:a16="http://schemas.microsoft.com/office/drawing/2014/main" id="{718CEF9F-4AE1-4D47-8314-E66F8BCD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7425" y="2752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76200</xdr:colOff>
      <xdr:row>10</xdr:row>
      <xdr:rowOff>114300</xdr:rowOff>
    </xdr:from>
    <xdr:to>
      <xdr:col>17</xdr:col>
      <xdr:colOff>609600</xdr:colOff>
      <xdr:row>25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5FA95E9A-D69C-44C4-A3A8-E6B35FF254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0200" y="2733675"/>
              <a:ext cx="4343400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25</xdr:row>
      <xdr:rowOff>47626</xdr:rowOff>
    </xdr:from>
    <xdr:to>
      <xdr:col>2</xdr:col>
      <xdr:colOff>381000</xdr:colOff>
      <xdr:row>32</xdr:row>
      <xdr:rowOff>142876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ia">
              <a:extLst>
                <a:ext uri="{FF2B5EF4-FFF2-40B4-BE49-F238E27FC236}">
                  <a16:creationId xmlns:a16="http://schemas.microsoft.com/office/drawing/2014/main" id="{CE3C1B06-B642-4B8B-812B-D7E91C339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5524501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628650</xdr:colOff>
      <xdr:row>25</xdr:row>
      <xdr:rowOff>28575</xdr:rowOff>
    </xdr:from>
    <xdr:to>
      <xdr:col>5</xdr:col>
      <xdr:colOff>171450</xdr:colOff>
      <xdr:row>35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1C50F068-450F-4E5E-A5E8-D8B6B46DFA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650" y="5505450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38100</xdr:colOff>
      <xdr:row>26</xdr:row>
      <xdr:rowOff>161925</xdr:rowOff>
    </xdr:from>
    <xdr:to>
      <xdr:col>10</xdr:col>
      <xdr:colOff>66675</xdr:colOff>
      <xdr:row>28</xdr:row>
      <xdr:rowOff>133350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5ADEA9A-843F-4912-A7D8-4C1160D0486F}"/>
            </a:ext>
          </a:extLst>
        </xdr:cNvPr>
        <xdr:cNvSpPr txBox="1"/>
      </xdr:nvSpPr>
      <xdr:spPr>
        <a:xfrm>
          <a:off x="5372100" y="5829300"/>
          <a:ext cx="23145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 b="1"/>
            <a:t>CONCLUSIONES CLAVE</a:t>
          </a:r>
        </a:p>
      </xdr:txBody>
    </xdr:sp>
    <xdr:clientData/>
  </xdr:twoCellAnchor>
  <xdr:twoCellAnchor>
    <xdr:from>
      <xdr:col>7</xdr:col>
      <xdr:colOff>19050</xdr:colOff>
      <xdr:row>29</xdr:row>
      <xdr:rowOff>38101</xdr:rowOff>
    </xdr:from>
    <xdr:to>
      <xdr:col>15</xdr:col>
      <xdr:colOff>19050</xdr:colOff>
      <xdr:row>36</xdr:row>
      <xdr:rowOff>171451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135FD72-18EA-490D-9C6B-68B9495B5350}"/>
            </a:ext>
          </a:extLst>
        </xdr:cNvPr>
        <xdr:cNvSpPr txBox="1"/>
      </xdr:nvSpPr>
      <xdr:spPr>
        <a:xfrm>
          <a:off x="5353050" y="6276976"/>
          <a:ext cx="6096000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b="1"/>
            <a:t>Muebles lidera las ventas</a:t>
          </a:r>
          <a:r>
            <a:rPr lang="es-AR"/>
            <a:t>, con aproximadamente </a:t>
          </a:r>
          <a:r>
            <a:rPr lang="es-AR" b="1"/>
            <a:t>$29,3 M</a:t>
          </a:r>
          <a:r>
            <a:rPr lang="es-AR"/>
            <a:t>, mientras Tecnología queda como la categoría de menor facturación.</a:t>
          </a:r>
        </a:p>
        <a:p>
          <a:pPr algn="l"/>
          <a:endParaRPr lang="es-AR" sz="1100"/>
        </a:p>
        <a:p>
          <a:pPr algn="l"/>
          <a:r>
            <a:rPr lang="es-AR"/>
            <a:t>El negocio genera un </a:t>
          </a:r>
          <a:r>
            <a:rPr lang="es-AR" b="1"/>
            <a:t>margen neto cercano al 28,3 %</a:t>
          </a:r>
          <a:r>
            <a:rPr lang="es-AR"/>
            <a:t>, por lo que los costos absorben alrededor del </a:t>
          </a:r>
          <a:r>
            <a:rPr lang="es-AR" b="1"/>
            <a:t>71,7 % de las ventas</a:t>
          </a:r>
          <a:r>
            <a:rPr lang="es-AR"/>
            <a:t>.</a:t>
          </a:r>
        </a:p>
        <a:p>
          <a:pPr algn="l"/>
          <a:endParaRPr lang="es-AR" sz="1100"/>
        </a:p>
        <a:p>
          <a:pPr algn="l"/>
          <a:r>
            <a:rPr lang="es-AR" b="1"/>
            <a:t>Diciembre es el mes con mayor nivel de ventas</a:t>
          </a:r>
          <a:r>
            <a:rPr lang="es-AR"/>
            <a:t>, con aproximadamente </a:t>
          </a:r>
          <a:r>
            <a:rPr lang="es-AR" b="1"/>
            <a:t>$11,68 M</a:t>
          </a:r>
          <a:r>
            <a:rPr lang="es-AR"/>
            <a:t>, mostrando una mejora hacia el cierre del año.</a:t>
          </a:r>
          <a:endParaRPr lang="es-AR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8.543465162038" backgroundQuery="1" createdVersion="7" refreshedVersion="7" minRefreshableVersion="3" recordCount="0" supportSubquery="1" supportAdvancedDrill="1" xr:uid="{64ADF615-5E0C-45A6-B1EC-C04A6A2B1110}">
  <cacheSource type="external" connectionId="5"/>
  <cacheFields count="2">
    <cacheField name="[DimCalendario].[Mes].[Mes]" caption="Mes" numFmtId="0" hierarchy="3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TotalVentas]" caption="TotalVentas" numFmtId="0" hierarchy="36" level="32767"/>
  </cacheFields>
  <cacheHierarchies count="45">
    <cacheHierarchy uniqueName="[DimCalendario].[Fecha]" caption="Fecha" attribute="1" time="1" defaultMemberUniqueName="[DimCalendario].[Fecha].[All]" allUniqueName="[DimCalendario].[Fecha].[All]" dimensionUniqueName="[DimCalendario]" displayFolder="" count="2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2" memberValueDatatype="20" unbalanced="0"/>
    <cacheHierarchy uniqueName="[DimCalendario].[MesNumero]" caption="MesNumero" attribute="1" defaultMemberUniqueName="[DimCalendario].[MesNumero].[All]" allUniqueName="[DimCalendario].[MesNumero].[All]" dimensionUniqueName="[DimCalendario]" displayFolder="" count="2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>
      <fieldsUsage count="2">
        <fieldUsage x="-1"/>
        <fieldUsage x="0"/>
      </fieldsUsage>
    </cacheHierarchy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alendario].[DiaSemana]" caption="DiaSemana" attribute="1" defaultMemberUniqueName="[DimCalendario].[DiaSemana].[All]" allUniqueName="[DimCalendario].[DiaSemana].[All]" dimensionUniqueName="[DimCalendario]" displayFolder="" count="2" memberValueDatatype="130" unbalanced="0"/>
    <cacheHierarchy uniqueName="[DimClientes].[ClienteID]" caption="ClienteID" attribute="1" defaultMemberUniqueName="[DimClientes].[ClienteID].[All]" allUniqueName="[DimClientes].[ClienteID].[All]" dimensionUniqueName="[DimClientes]" displayFolder="" count="2" memberValueDatatype="130" unbalanced="0"/>
    <cacheHierarchy uniqueName="[DimClientes].[Cliente]" caption="Cliente" attribute="1" defaultMemberUniqueName="[DimClientes].[Cliente].[All]" allUniqueName="[DimClientes].[Cliente].[All]" dimensionUniqueName="[DimClientes]" displayFolder="" count="2" memberValueDatatype="130" unbalanced="0"/>
    <cacheHierarchy uniqueName="[DimClientes].[Segmento]" caption="Segmento" attribute="1" defaultMemberUniqueName="[DimClientes].[Segmento].[All]" allUniqueName="[DimClientes].[Segmento].[All]" dimensionUniqueName="[DimClientes]" displayFolder="" count="2" memberValueDatatype="130" unbalanced="0"/>
    <cacheHierarchy uniqueName="[DimClientes].[Provincia]" caption="Provincia" attribute="1" defaultMemberUniqueName="[DimClientes].[Provincia].[All]" allUniqueName="[DimClientes].[Provincia].[All]" dimensionUniqueName="[DimClientes]" displayFolder="" count="2" memberValueDatatype="130" unbalanced="0"/>
    <cacheHierarchy uniqueName="[DimClientes].[Ciudad]" caption="Ciudad" attribute="1" defaultMemberUniqueName="[DimClientes].[Ciudad].[All]" allUniqueName="[DimClientes].[Ciudad].[All]" dimensionUniqueName="[DimClientes]" displayFolder="" count="2" memberValueDatatype="130" unbalanced="0"/>
    <cacheHierarchy uniqueName="[DimProductos].[ProductoID]" caption="ProductoID" attribute="1" defaultMemberUniqueName="[DimProductos].[ProductoID].[All]" allUniqueName="[DimProductos].[ProductoID].[All]" dimensionUniqueName="[DimProductos]" displayFolder="" count="2" memberValueDatatype="130" unbalanced="0"/>
    <cacheHierarchy uniqueName="[DimProductos].[Producto]" caption="Producto" attribute="1" defaultMemberUniqueName="[DimProductos].[Producto].[All]" allUniqueName="[DimProductos].[Producto].[All]" dimensionUniqueName="[DimProductos]" displayFolder="" count="2" memberValueDatatype="130" unbalanced="0"/>
    <cacheHierarchy uniqueName="[DimProductos].[Categoria]" caption="Categoria" attribute="1" defaultMemberUniqueName="[DimProductos].[Categoria].[All]" allUniqueName="[DimProductos].[Categoria].[All]" dimensionUniqueName="[DimProductos]" displayFolder="" count="2" memberValueDatatype="130" unbalanced="0"/>
    <cacheHierarchy uniqueName="[DimProductos].[Marca]" caption="Marca" attribute="1" defaultMemberUniqueName="[DimProductos].[Marca].[All]" allUniqueName="[DimProductos].[Marca].[All]" dimensionUniqueName="[DimProductos]" displayFolder="" count="2" memberValueDatatype="130" unbalanced="0"/>
    <cacheHierarchy uniqueName="[DimProductos].[PrecioLista]" caption="PrecioLista" attribute="1" defaultMemberUniqueName="[DimProductos].[PrecioLista].[All]" allUniqueName="[DimProductos].[PrecioLista].[All]" dimensionUniqueName="[DimProductos]" displayFolder="" count="2" memberValueDatatype="20" unbalanced="0"/>
    <cacheHierarchy uniqueName="[DimProductos].[CostoBase]" caption="CostoBase" attribute="1" defaultMemberUniqueName="[DimProductos].[CostoBase].[All]" allUniqueName="[DimProductos].[CostoBase].[All]" dimensionUniqueName="[DimProductos]" displayFolder="" count="2" memberValueDatatype="5" unbalanced="0"/>
    <cacheHierarchy uniqueName="[FactVentas].[VentaID]" caption="VentaID" attribute="1" defaultMemberUniqueName="[FactVentas].[VentaID].[All]" allUniqueName="[FactVentas].[VentaID].[All]" dimensionUniqueName="[FactVentas]" displayFolder="" count="2" memberValueDatatype="130" unbalanced="0"/>
    <cacheHierarchy uniqueName="[FactVentas].[Fecha]" caption="Fecha" attribute="1" time="1" defaultMemberUniqueName="[FactVentas].[Fecha].[All]" allUniqueName="[FactVentas].[Fecha].[All]" dimensionUniqueName="[FactVentas]" displayFolder="" count="2" memberValueDatatype="7" unbalanced="0"/>
    <cacheHierarchy uniqueName="[FactVentas].[ClienteID]" caption="ClienteID" attribute="1" defaultMemberUniqueName="[FactVentas].[ClienteID].[All]" allUniqueName="[FactVentas].[ClienteID].[All]" dimensionUniqueName="[FactVentas]" displayFolder="" count="2" memberValueDatatype="130" unbalanced="0"/>
    <cacheHierarchy uniqueName="[FactVentas].[ProductoID]" caption="ProductoID" attribute="1" defaultMemberUniqueName="[FactVentas].[ProductoID].[All]" allUniqueName="[FactVentas].[ProductoID].[All]" dimensionUniqueName="[FactVentas]" displayFolder="" count="2" memberValueDatatype="130" unbalanced="0"/>
    <cacheHierarchy uniqueName="[FactVentas].[Unidades]" caption="Unidades" attribute="1" defaultMemberUniqueName="[FactVentas].[Unidades].[All]" allUniqueName="[FactVentas].[Unidades].[All]" dimensionUniqueName="[FactVentas]" displayFolder="" count="2" memberValueDatatype="20" unbalanced="0"/>
    <cacheHierarchy uniqueName="[FactVentas].[PrecioUnitario]" caption="PrecioUnitario" attribute="1" defaultMemberUniqueName="[FactVentas].[PrecioUnitario].[All]" allUniqueName="[FactVentas].[PrecioUnitario].[All]" dimensionUniqueName="[FactVentas]" displayFolder="" count="2" memberValueDatatype="5" unbalanced="0"/>
    <cacheHierarchy uniqueName="[FactVentas].[CostoUnitario]" caption="CostoUnitario" attribute="1" defaultMemberUniqueName="[FactVentas].[CostoUnitario].[All]" allUniqueName="[FactVentas].[CostoUnitario].[All]" dimensionUniqueName="[FactVentas]" displayFolder="" count="2" memberValueDatatype="5" unbalanced="0"/>
    <cacheHierarchy uniqueName="[FactVentas].[DescuentoPct]" caption="DescuentoPct" attribute="1" defaultMemberUniqueName="[FactVentas].[DescuentoPct].[All]" allUniqueName="[FactVentas].[DescuentoPct].[All]" dimensionUniqueName="[FactVentas]" displayFolder="" count="2" memberValueDatatype="5" unbalanced="0"/>
    <cacheHierarchy uniqueName="[FactVentas].[CostoEnvio]" caption="CostoEnvio" attribute="1" defaultMemberUniqueName="[FactVentas].[CostoEnvio].[All]" allUniqueName="[FactVentas].[CostoEnvio].[All]" dimensionUniqueName="[FactVentas]" displayFolder="" count="2" memberValueDatatype="5" unbalanced="0"/>
    <cacheHierarchy uniqueName="[FactVentas].[Canal]" caption="Canal" attribute="1" defaultMemberUniqueName="[FactVentas].[Canal].[All]" allUniqueName="[FactVentas].[Canal].[All]" dimensionUniqueName="[FactVentas]" displayFolder="" count="2" memberValueDatatype="130" unbalanced="0"/>
    <cacheHierarchy uniqueName="[FactVentas].[Region]" caption="Region" attribute="1" defaultMemberUniqueName="[FactVentas].[Region].[All]" allUniqueName="[FactVentas].[Region].[All]" dimensionUniqueName="[FactVentas]" displayFolder="" count="2" memberValueDatatype="130" unbalanced="0"/>
    <cacheHierarchy uniqueName="[FactVentas].[VentaNeta]" caption="VentaNeta" attribute="1" defaultMemberUniqueName="[FactVentas].[VentaNeta].[All]" allUniqueName="[FactVentas].[VentaNeta].[All]" dimensionUniqueName="[FactVentas]" displayFolder="" count="2" memberValueDatatype="5" unbalanced="0"/>
    <cacheHierarchy uniqueName="[FactVentas].[CostoTotal]" caption="CostoTotal" attribute="1" defaultMemberUniqueName="[FactVentas].[CostoTotal].[All]" allUniqueName="[FactVentas].[CostoTotal].[All]" dimensionUniqueName="[FactVentas]" displayFolder="" count="2" memberValueDatatype="5" unbalanced="0"/>
    <cacheHierarchy uniqueName="[tblProductos].[ProductoID]" caption="ProductoID" attribute="1" defaultMemberUniqueName="[tblProductos].[ProductoID].[All]" allUniqueName="[tblProductos].[ProductoID].[All]" dimensionUniqueName="[tblProductos]" displayFolder="" count="2" memberValueDatatype="130" unbalanced="0"/>
    <cacheHierarchy uniqueName="[tblProductos].[Producto]" caption="Producto" attribute="1" defaultMemberUniqueName="[tblProductos].[Producto].[All]" allUniqueName="[tblProductos].[Producto].[All]" dimensionUniqueName="[tblProductos]" displayFolder="" count="2" memberValueDatatype="130" unbalanced="0"/>
    <cacheHierarchy uniqueName="[tblProductos].[Categoria]" caption="Categoria" attribute="1" defaultMemberUniqueName="[tblProductos].[Categoria].[All]" allUniqueName="[tblProductos].[Categoria].[All]" dimensionUniqueName="[tblProductos]" displayFolder="" count="2" memberValueDatatype="130" unbalanced="0"/>
    <cacheHierarchy uniqueName="[tblProductos].[Marca]" caption="Marca" attribute="1" defaultMemberUniqueName="[tblProductos].[Marca].[All]" allUniqueName="[tblProductos].[Marca].[All]" dimensionUniqueName="[tblProductos]" displayFolder="" count="2" memberValueDatatype="130" unbalanced="0"/>
    <cacheHierarchy uniqueName="[tblProductos].[PrecioLista]" caption="PrecioLista" attribute="1" defaultMemberUniqueName="[tblProductos].[PrecioLista].[All]" allUniqueName="[tblProductos].[PrecioLista].[All]" dimensionUniqueName="[tblProductos]" displayFolder="" count="2" memberValueDatatype="20" unbalanced="0"/>
    <cacheHierarchy uniqueName="[tblProductos].[CostoBase]" caption="CostoBase" attribute="1" defaultMemberUniqueName="[tblProductos].[CostoBase].[All]" allUniqueName="[tblProductos].[CostoBase].[All]" dimensionUniqueName="[tblProductos]" displayFolder="" count="2" memberValueDatatype="5" unbalanced="0"/>
    <cacheHierarchy uniqueName="[Measures].[TotalVentas]" caption="TotalVentas" measure="1" displayFolder="" measureGroup="FactVentas" count="0" oneField="1">
      <fieldsUsage count="1">
        <fieldUsage x="1"/>
      </fieldsUsage>
    </cacheHierarchy>
    <cacheHierarchy uniqueName="[Measures].[MargenNeto]" caption="MargenNeto" measure="1" displayFolder="" measureGroup="FactVentas" count="0"/>
    <cacheHierarchy uniqueName="[Measures].[CantidadVentas]" caption="CantidadVentas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DimCalendario]" caption="__XL_Count DimCalendario" measure="1" displayFolder="" measureGroup="DimCalendario" count="0" hidden="1"/>
    <cacheHierarchy uniqueName="[Measures].[__XL_Count tblProductos]" caption="__XL_Count tblProductos" measure="1" displayFolder="" measureGroup="tblProductos" count="0" hidden="1"/>
    <cacheHierarchy uniqueName="[Measures].[__No measures defined]" caption="__No measures defined" measure="1" displayFolder="" count="0" hidden="1"/>
  </cacheHierarchies>
  <kpis count="0"/>
  <dimensions count="6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  <dimension name="tblProductos" uniqueName="[tblProductos]" caption="tblProductos"/>
  </dimensions>
  <measureGroups count="5">
    <measureGroup name="DimCalendario" caption="DimCalendario"/>
    <measureGroup name="DimClientes" caption="DimClientes"/>
    <measureGroup name="DimProductos" caption="DimProductos"/>
    <measureGroup name="FactVentas" caption="FactVentas"/>
    <measureGroup name="tblProductos" caption="tblProductos"/>
  </measureGroups>
  <maps count="8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8.543465625" backgroundQuery="1" createdVersion="7" refreshedVersion="7" minRefreshableVersion="3" recordCount="0" supportSubquery="1" supportAdvancedDrill="1" xr:uid="{C4C902E7-E583-431D-A5DF-EDB2A3C5F88E}">
  <cacheSource type="external" connectionId="5"/>
  <cacheFields count="4">
    <cacheField name="[Measures].[TotalVentas]" caption="TotalVentas" numFmtId="0" hierarchy="36" level="32767"/>
    <cacheField name="[Measures].[MargenNeto]" caption="MargenNeto" numFmtId="0" hierarchy="37" level="32767"/>
    <cacheField name="[Measures].[CantidadVentas]" caption="CantidadVentas" numFmtId="0" hierarchy="38" level="32767"/>
    <cacheField name="[DimCalendario].[Mes].[Mes]" caption="Mes" numFmtId="0" hierarchy="3" level="1">
      <sharedItems containsSemiMixedTypes="0" containsNonDate="0" containsString="0"/>
    </cacheField>
  </cacheFields>
  <cacheHierarchies count="45">
    <cacheHierarchy uniqueName="[DimCalendario].[Fecha]" caption="Fecha" attribute="1" time="1" defaultMemberUniqueName="[DimCalendario].[Fecha].[All]" allUniqueName="[DimCalendario].[Fecha].[All]" dimensionUniqueName="[DimCalendario]" displayFolder="" count="0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0" memberValueDatatype="20" unbalanced="0"/>
    <cacheHierarchy uniqueName="[DimCalendario].[MesNumero]" caption="MesNumero" attribute="1" defaultMemberUniqueName="[DimCalendario].[MesNumero].[All]" allUniqueName="[DimCalendario].[MesNumero].[All]" dimensionUniqueName="[DimCalendario]" displayFolder="" count="0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>
      <fieldsUsage count="2">
        <fieldUsage x="-1"/>
        <fieldUsage x="3"/>
      </fieldsUsage>
    </cacheHierarchy>
    <cacheHierarchy uniqueName="[DimCalendario].[Trimestre]" caption="Trimestre" attribute="1" defaultMemberUniqueName="[DimCalendario].[Trimestre].[All]" allUniqueName="[DimCalendario].[Trimestre].[All]" dimensionUniqueName="[DimCalendario]" displayFolder="" count="0" memberValueDatatype="130" unbalanced="0"/>
    <cacheHierarchy uniqueName="[DimCalendario].[DiaSemana]" caption="DiaSemana" attribute="1" defaultMemberUniqueName="[DimCalendario].[DiaSemana].[All]" allUniqueName="[DimCalendario].[DiaSemana].[All]" dimensionUniqueName="[DimCalendario]" displayFolder="" count="0" memberValueDatatype="130" unbalanced="0"/>
    <cacheHierarchy uniqueName="[DimClientes].[ClienteID]" caption="ClienteID" attribute="1" defaultMemberUniqueName="[DimClientes].[ClienteID].[All]" allUniqueName="[DimClientes].[ClienteID].[All]" dimensionUniqueName="[DimClientes]" displayFolder="" count="0" memberValueDatatype="13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Segmento]" caption="Segmento" attribute="1" defaultMemberUniqueName="[DimClientes].[Segmento].[All]" allUniqueName="[DimClientes].[Segmento].[All]" dimensionUniqueName="[DimClientes]" displayFolder="" count="0" memberValueDatatype="130" unbalanced="0"/>
    <cacheHierarchy uniqueName="[DimClientes].[Provincia]" caption="Provincia" attribute="1" defaultMemberUniqueName="[DimClientes].[Provincia].[All]" allUniqueName="[DimClientes].[Provincia].[All]" dimensionUniqueName="[DimClientes]" displayFolder="" count="0" memberValueDatatype="130" unbalanced="0"/>
    <cacheHierarchy uniqueName="[DimClientes].[Ciudad]" caption="Ciudad" attribute="1" defaultMemberUniqueName="[DimClientes].[Ciudad].[All]" allUniqueName="[DimClientes].[Ciudad].[All]" dimensionUniqueName="[DimClientes]" displayFolder="" count="0" memberValueDatatype="130" unbalanced="0"/>
    <cacheHierarchy uniqueName="[DimProductos].[ProductoID]" caption="ProductoID" attribute="1" defaultMemberUniqueName="[DimProductos].[ProductoID].[All]" allUniqueName="[DimProductos].[ProductoID].[All]" dimensionUniqueName="[DimProductos]" displayFolder="" count="0" memberValueDatatype="130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DimProductos].[Categoria]" caption="Categoria" attribute="1" defaultMemberUniqueName="[DimProductos].[Categoria].[All]" allUniqueName="[DimProductos].[Categoria].[All]" dimensionUniqueName="[DimProductos]" displayFolder="" count="2" memberValueDatatype="130" unbalanced="0"/>
    <cacheHierarchy uniqueName="[DimProductos].[Marca]" caption="Marca" attribute="1" defaultMemberUniqueName="[DimProductos].[Marca].[All]" allUniqueName="[DimProductos].[Marca].[All]" dimensionUniqueName="[DimProductos]" displayFolder="" count="0" memberValueDatatype="130" unbalanced="0"/>
    <cacheHierarchy uniqueName="[DimProductos].[PrecioLista]" caption="PrecioLista" attribute="1" defaultMemberUniqueName="[DimProductos].[PrecioLista].[All]" allUniqueName="[DimProductos].[PrecioLista].[All]" dimensionUniqueName="[DimProductos]" displayFolder="" count="0" memberValueDatatype="20" unbalanced="0"/>
    <cacheHierarchy uniqueName="[DimProductos].[CostoBase]" caption="CostoBase" attribute="1" defaultMemberUniqueName="[DimProductos].[CostoBase].[All]" allUniqueName="[DimProductos].[CostoBase].[All]" dimensionUniqueName="[DimProductos]" displayFolder="" count="0" memberValueDatatype="5" unbalanced="0"/>
    <cacheHierarchy uniqueName="[FactVentas].[VentaID]" caption="VentaID" attribute="1" defaultMemberUniqueName="[FactVentas].[VentaID].[All]" allUniqueName="[FactVentas].[VentaID].[All]" dimensionUniqueName="[FactVentas]" displayFolder="" count="0" memberValueDatatype="130" unbalanced="0"/>
    <cacheHierarchy uniqueName="[FactVentas].[Fecha]" caption="Fecha" attribute="1" time="1" defaultMemberUniqueName="[FactVentas].[Fecha].[All]" allUniqueName="[FactVentas].[Fecha].[All]" dimensionUniqueName="[FactVentas]" displayFolder="" count="0" memberValueDatatype="7" unbalanced="0"/>
    <cacheHierarchy uniqueName="[FactVentas].[ClienteID]" caption="ClienteID" attribute="1" defaultMemberUniqueName="[FactVentas].[ClienteID].[All]" allUniqueName="[FactVentas].[ClienteID].[All]" dimensionUniqueName="[FactVentas]" displayFolder="" count="0" memberValueDatatype="130" unbalanced="0"/>
    <cacheHierarchy uniqueName="[FactVentas].[ProductoID]" caption="ProductoID" attribute="1" defaultMemberUniqueName="[FactVentas].[ProductoID].[All]" allUniqueName="[FactVentas].[ProductoID].[All]" dimensionUniqueName="[FactVentas]" displayFolder="" count="0" memberValueDatatype="130" unbalanced="0"/>
    <cacheHierarchy uniqueName="[FactVentas].[Unidades]" caption="Unidades" attribute="1" defaultMemberUniqueName="[FactVentas].[Unidades].[All]" allUniqueName="[FactVentas].[Unidades].[All]" dimensionUniqueName="[FactVentas]" displayFolder="" count="0" memberValueDatatype="20" unbalanced="0"/>
    <cacheHierarchy uniqueName="[FactVentas].[PrecioUnitario]" caption="PrecioUnitario" attribute="1" defaultMemberUniqueName="[FactVentas].[PrecioUnitario].[All]" allUniqueName="[FactVentas].[PrecioUnitario].[All]" dimensionUniqueName="[FactVentas]" displayFolder="" count="0" memberValueDatatype="5" unbalanced="0"/>
    <cacheHierarchy uniqueName="[FactVentas].[CostoUnitario]" caption="CostoUnitario" attribute="1" defaultMemberUniqueName="[FactVentas].[CostoUnitario].[All]" allUniqueName="[FactVentas].[CostoUnitario].[All]" dimensionUniqueName="[FactVentas]" displayFolder="" count="0" memberValueDatatype="5" unbalanced="0"/>
    <cacheHierarchy uniqueName="[FactVentas].[DescuentoPct]" caption="DescuentoPct" attribute="1" defaultMemberUniqueName="[FactVentas].[DescuentoPct].[All]" allUniqueName="[FactVentas].[DescuentoPct].[All]" dimensionUniqueName="[FactVentas]" displayFolder="" count="0" memberValueDatatype="5" unbalanced="0"/>
    <cacheHierarchy uniqueName="[FactVentas].[CostoEnvio]" caption="CostoEnvio" attribute="1" defaultMemberUniqueName="[FactVentas].[CostoEnvio].[All]" allUniqueName="[FactVentas].[CostoEnvio].[All]" dimensionUniqueName="[FactVentas]" displayFolder="" count="0" memberValueDatatype="5" unbalanced="0"/>
    <cacheHierarchy uniqueName="[FactVentas].[Canal]" caption="Canal" attribute="1" defaultMemberUniqueName="[FactVentas].[Canal].[All]" allUniqueName="[FactVentas].[Canal].[All]" dimensionUniqueName="[FactVentas]" displayFolder="" count="0" memberValueDatatype="130" unbalanced="0"/>
    <cacheHierarchy uniqueName="[FactVentas].[Region]" caption="Region" attribute="1" defaultMemberUniqueName="[FactVentas].[Region].[All]" allUniqueName="[FactVentas].[Region].[All]" dimensionUniqueName="[FactVentas]" displayFolder="" count="2" memberValueDatatype="130" unbalanced="0"/>
    <cacheHierarchy uniqueName="[FactVentas].[VentaNeta]" caption="VentaNeta" attribute="1" defaultMemberUniqueName="[FactVentas].[VentaNeta].[All]" allUniqueName="[FactVentas].[VentaNeta].[All]" dimensionUniqueName="[FactVentas]" displayFolder="" count="0" memberValueDatatype="5" unbalanced="0"/>
    <cacheHierarchy uniqueName="[FactVentas].[CostoTotal]" caption="CostoTotal" attribute="1" defaultMemberUniqueName="[FactVentas].[CostoTotal].[All]" allUniqueName="[FactVentas].[CostoTotal].[All]" dimensionUniqueName="[FactVentas]" displayFolder="" count="0" memberValueDatatype="5" unbalanced="0"/>
    <cacheHierarchy uniqueName="[tblProductos].[ProductoID]" caption="ProductoID" attribute="1" defaultMemberUniqueName="[tblProductos].[ProductoID].[All]" allUniqueName="[tblProductos].[ProductoID].[All]" dimensionUniqueName="[tblProductos]" displayFolder="" count="0" memberValueDatatype="130" unbalanced="0"/>
    <cacheHierarchy uniqueName="[tblProductos].[Producto]" caption="Producto" attribute="1" defaultMemberUniqueName="[tblProductos].[Producto].[All]" allUniqueName="[tblProductos].[Producto].[All]" dimensionUniqueName="[tblProductos]" displayFolder="" count="0" memberValueDatatype="130" unbalanced="0"/>
    <cacheHierarchy uniqueName="[tblProductos].[Categoria]" caption="Categoria" attribute="1" defaultMemberUniqueName="[tblProductos].[Categoria].[All]" allUniqueName="[tblProductos].[Categoria].[All]" dimensionUniqueName="[tblProductos]" displayFolder="" count="0" memberValueDatatype="130" unbalanced="0"/>
    <cacheHierarchy uniqueName="[tblProductos].[Marca]" caption="Marca" attribute="1" defaultMemberUniqueName="[tblProductos].[Marca].[All]" allUniqueName="[tblProductos].[Marca].[All]" dimensionUniqueName="[tblProductos]" displayFolder="" count="0" memberValueDatatype="130" unbalanced="0"/>
    <cacheHierarchy uniqueName="[tblProductos].[PrecioLista]" caption="PrecioLista" attribute="1" defaultMemberUniqueName="[tblProductos].[PrecioLista].[All]" allUniqueName="[tblProductos].[PrecioLista].[All]" dimensionUniqueName="[tblProductos]" displayFolder="" count="0" memberValueDatatype="20" unbalanced="0"/>
    <cacheHierarchy uniqueName="[tblProductos].[CostoBase]" caption="CostoBase" attribute="1" defaultMemberUniqueName="[tblProductos].[CostoBase].[All]" allUniqueName="[tblProductos].[CostoBase].[All]" dimensionUniqueName="[tblProductos]" displayFolder="" count="0" memberValueDatatype="5" unbalanced="0"/>
    <cacheHierarchy uniqueName="[Measures].[TotalVentas]" caption="TotalVentas" measure="1" displayFolder="" measureGroup="FactVentas" count="0" oneField="1">
      <fieldsUsage count="1">
        <fieldUsage x="0"/>
      </fieldsUsage>
    </cacheHierarchy>
    <cacheHierarchy uniqueName="[Measures].[MargenNeto]" caption="MargenNeto" measure="1" displayFolder="" measureGroup="FactVentas" count="0" oneField="1">
      <fieldsUsage count="1">
        <fieldUsage x="1"/>
      </fieldsUsage>
    </cacheHierarchy>
    <cacheHierarchy uniqueName="[Measures].[CantidadVentas]" caption="CantidadVentas" measure="1" displayFolder="" measureGroup="FactVentas" count="0" oneField="1">
      <fieldsUsage count="1">
        <fieldUsage x="2"/>
      </fieldsUsage>
    </cacheHierarchy>
    <cacheHierarchy uniqueName="[Measures].[__XL_Count FactVentas]" caption="__XL_Count FactVentas" measure="1" displayFolder="" measureGroup="Fact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DimCalendario]" caption="__XL_Count DimCalendario" measure="1" displayFolder="" measureGroup="DimCalendario" count="0" hidden="1"/>
    <cacheHierarchy uniqueName="[Measures].[__XL_Count tblProductos]" caption="__XL_Count tblProductos" measure="1" displayFolder="" measureGroup="tblProductos" count="0" hidden="1"/>
    <cacheHierarchy uniqueName="[Measures].[__No measures defined]" caption="__No measures defined" measure="1" displayFolder="" count="0" hidden="1"/>
  </cacheHierarchies>
  <kpis count="0"/>
  <dimensions count="6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  <dimension name="tblProductos" uniqueName="[tblProductos]" caption="tblProductos"/>
  </dimensions>
  <measureGroups count="5">
    <measureGroup name="DimCalendario" caption="DimCalendario"/>
    <measureGroup name="DimClientes" caption="DimClientes"/>
    <measureGroup name="DimProductos" caption="DimProductos"/>
    <measureGroup name="FactVentas" caption="FactVentas"/>
    <measureGroup name="tblProductos" caption="tblProductos"/>
  </measureGroups>
  <maps count="8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8.543465972223" backgroundQuery="1" createdVersion="7" refreshedVersion="7" minRefreshableVersion="3" recordCount="0" supportSubquery="1" supportAdvancedDrill="1" xr:uid="{051E8185-0793-4A30-9952-95763D1932B3}">
  <cacheSource type="external" connectionId="5"/>
  <cacheFields count="3">
    <cacheField name="[Measures].[TotalVentas]" caption="TotalVentas" numFmtId="0" hierarchy="36" level="32767"/>
    <cacheField name="[DimProductos].[Categoria].[Categoria]" caption="Categoria" numFmtId="0" hierarchy="13" level="1">
      <sharedItems count="4">
        <s v="Accesorios"/>
        <s v="Muebles"/>
        <s v="Oficina"/>
        <s v="Tecnología"/>
      </sharedItems>
    </cacheField>
    <cacheField name="[DimCalendario].[Mes].[Mes]" caption="Mes" numFmtId="0" hierarchy="3" level="1">
      <sharedItems containsSemiMixedTypes="0" containsNonDate="0" containsString="0"/>
    </cacheField>
  </cacheFields>
  <cacheHierarchies count="45">
    <cacheHierarchy uniqueName="[DimCalendario].[Fecha]" caption="Fecha" attribute="1" time="1" defaultMemberUniqueName="[DimCalendario].[Fecha].[All]" allUniqueName="[DimCalendario].[Fecha].[All]" dimensionUniqueName="[DimCalendario]" displayFolder="" count="2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2" memberValueDatatype="20" unbalanced="0"/>
    <cacheHierarchy uniqueName="[DimCalendario].[MesNumero]" caption="MesNumero" attribute="1" defaultMemberUniqueName="[DimCalendario].[MesNumero].[All]" allUniqueName="[DimCalendario].[MesNumero].[All]" dimensionUniqueName="[DimCalendario]" displayFolder="" count="2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>
      <fieldsUsage count="2">
        <fieldUsage x="-1"/>
        <fieldUsage x="2"/>
      </fieldsUsage>
    </cacheHierarchy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alendario].[DiaSemana]" caption="DiaSemana" attribute="1" defaultMemberUniqueName="[DimCalendario].[DiaSemana].[All]" allUniqueName="[DimCalendario].[DiaSemana].[All]" dimensionUniqueName="[DimCalendario]" displayFolder="" count="2" memberValueDatatype="130" unbalanced="0"/>
    <cacheHierarchy uniqueName="[DimClientes].[ClienteID]" caption="ClienteID" attribute="1" defaultMemberUniqueName="[DimClientes].[ClienteID].[All]" allUniqueName="[DimClientes].[ClienteID].[All]" dimensionUniqueName="[DimClientes]" displayFolder="" count="2" memberValueDatatype="130" unbalanced="0"/>
    <cacheHierarchy uniqueName="[DimClientes].[Cliente]" caption="Cliente" attribute="1" defaultMemberUniqueName="[DimClientes].[Cliente].[All]" allUniqueName="[DimClientes].[Cliente].[All]" dimensionUniqueName="[DimClientes]" displayFolder="" count="2" memberValueDatatype="130" unbalanced="0"/>
    <cacheHierarchy uniqueName="[DimClientes].[Segmento]" caption="Segmento" attribute="1" defaultMemberUniqueName="[DimClientes].[Segmento].[All]" allUniqueName="[DimClientes].[Segmento].[All]" dimensionUniqueName="[DimClientes]" displayFolder="" count="2" memberValueDatatype="130" unbalanced="0"/>
    <cacheHierarchy uniqueName="[DimClientes].[Provincia]" caption="Provincia" attribute="1" defaultMemberUniqueName="[DimClientes].[Provincia].[All]" allUniqueName="[DimClientes].[Provincia].[All]" dimensionUniqueName="[DimClientes]" displayFolder="" count="2" memberValueDatatype="130" unbalanced="0"/>
    <cacheHierarchy uniqueName="[DimClientes].[Ciudad]" caption="Ciudad" attribute="1" defaultMemberUniqueName="[DimClientes].[Ciudad].[All]" allUniqueName="[DimClientes].[Ciudad].[All]" dimensionUniqueName="[DimClientes]" displayFolder="" count="2" memberValueDatatype="130" unbalanced="0"/>
    <cacheHierarchy uniqueName="[DimProductos].[ProductoID]" caption="ProductoID" attribute="1" defaultMemberUniqueName="[DimProductos].[ProductoID].[All]" allUniqueName="[DimProductos].[ProductoID].[All]" dimensionUniqueName="[DimProductos]" displayFolder="" count="2" memberValueDatatype="130" unbalanced="0"/>
    <cacheHierarchy uniqueName="[DimProductos].[Producto]" caption="Producto" attribute="1" defaultMemberUniqueName="[DimProductos].[Producto].[All]" allUniqueName="[DimProductos].[Producto].[All]" dimensionUniqueName="[DimProductos]" displayFolder="" count="2" memberValueDatatype="130" unbalanced="0"/>
    <cacheHierarchy uniqueName="[DimProductos].[Categoria]" caption="Categoria" attribute="1" defaultMemberUniqueName="[DimProductos].[Categoria].[All]" allUniqueName="[DimProductos].[Categoria].[All]" dimensionUniqueName="[DimProductos]" displayFolder="" count="2" memberValueDatatype="130" unbalanced="0">
      <fieldsUsage count="2">
        <fieldUsage x="-1"/>
        <fieldUsage x="1"/>
      </fieldsUsage>
    </cacheHierarchy>
    <cacheHierarchy uniqueName="[DimProductos].[Marca]" caption="Marca" attribute="1" defaultMemberUniqueName="[DimProductos].[Marca].[All]" allUniqueName="[DimProductos].[Marca].[All]" dimensionUniqueName="[DimProductos]" displayFolder="" count="2" memberValueDatatype="130" unbalanced="0"/>
    <cacheHierarchy uniqueName="[DimProductos].[PrecioLista]" caption="PrecioLista" attribute="1" defaultMemberUniqueName="[DimProductos].[PrecioLista].[All]" allUniqueName="[DimProductos].[PrecioLista].[All]" dimensionUniqueName="[DimProductos]" displayFolder="" count="2" memberValueDatatype="20" unbalanced="0"/>
    <cacheHierarchy uniqueName="[DimProductos].[CostoBase]" caption="CostoBase" attribute="1" defaultMemberUniqueName="[DimProductos].[CostoBase].[All]" allUniqueName="[DimProductos].[CostoBase].[All]" dimensionUniqueName="[DimProductos]" displayFolder="" count="2" memberValueDatatype="5" unbalanced="0"/>
    <cacheHierarchy uniqueName="[FactVentas].[VentaID]" caption="VentaID" attribute="1" defaultMemberUniqueName="[FactVentas].[VentaID].[All]" allUniqueName="[FactVentas].[VentaID].[All]" dimensionUniqueName="[FactVentas]" displayFolder="" count="2" memberValueDatatype="130" unbalanced="0"/>
    <cacheHierarchy uniqueName="[FactVentas].[Fecha]" caption="Fecha" attribute="1" time="1" defaultMemberUniqueName="[FactVentas].[Fecha].[All]" allUniqueName="[FactVentas].[Fecha].[All]" dimensionUniqueName="[FactVentas]" displayFolder="" count="2" memberValueDatatype="7" unbalanced="0"/>
    <cacheHierarchy uniqueName="[FactVentas].[ClienteID]" caption="ClienteID" attribute="1" defaultMemberUniqueName="[FactVentas].[ClienteID].[All]" allUniqueName="[FactVentas].[ClienteID].[All]" dimensionUniqueName="[FactVentas]" displayFolder="" count="2" memberValueDatatype="130" unbalanced="0"/>
    <cacheHierarchy uniqueName="[FactVentas].[ProductoID]" caption="ProductoID" attribute="1" defaultMemberUniqueName="[FactVentas].[ProductoID].[All]" allUniqueName="[FactVentas].[ProductoID].[All]" dimensionUniqueName="[FactVentas]" displayFolder="" count="2" memberValueDatatype="130" unbalanced="0"/>
    <cacheHierarchy uniqueName="[FactVentas].[Unidades]" caption="Unidades" attribute="1" defaultMemberUniqueName="[FactVentas].[Unidades].[All]" allUniqueName="[FactVentas].[Unidades].[All]" dimensionUniqueName="[FactVentas]" displayFolder="" count="2" memberValueDatatype="20" unbalanced="0"/>
    <cacheHierarchy uniqueName="[FactVentas].[PrecioUnitario]" caption="PrecioUnitario" attribute="1" defaultMemberUniqueName="[FactVentas].[PrecioUnitario].[All]" allUniqueName="[FactVentas].[PrecioUnitario].[All]" dimensionUniqueName="[FactVentas]" displayFolder="" count="2" memberValueDatatype="5" unbalanced="0"/>
    <cacheHierarchy uniqueName="[FactVentas].[CostoUnitario]" caption="CostoUnitario" attribute="1" defaultMemberUniqueName="[FactVentas].[CostoUnitario].[All]" allUniqueName="[FactVentas].[CostoUnitario].[All]" dimensionUniqueName="[FactVentas]" displayFolder="" count="2" memberValueDatatype="5" unbalanced="0"/>
    <cacheHierarchy uniqueName="[FactVentas].[DescuentoPct]" caption="DescuentoPct" attribute="1" defaultMemberUniqueName="[FactVentas].[DescuentoPct].[All]" allUniqueName="[FactVentas].[DescuentoPct].[All]" dimensionUniqueName="[FactVentas]" displayFolder="" count="2" memberValueDatatype="5" unbalanced="0"/>
    <cacheHierarchy uniqueName="[FactVentas].[CostoEnvio]" caption="CostoEnvio" attribute="1" defaultMemberUniqueName="[FactVentas].[CostoEnvio].[All]" allUniqueName="[FactVentas].[CostoEnvio].[All]" dimensionUniqueName="[FactVentas]" displayFolder="" count="2" memberValueDatatype="5" unbalanced="0"/>
    <cacheHierarchy uniqueName="[FactVentas].[Canal]" caption="Canal" attribute="1" defaultMemberUniqueName="[FactVentas].[Canal].[All]" allUniqueName="[FactVentas].[Canal].[All]" dimensionUniqueName="[FactVentas]" displayFolder="" count="2" memberValueDatatype="130" unbalanced="0"/>
    <cacheHierarchy uniqueName="[FactVentas].[Region]" caption="Region" attribute="1" defaultMemberUniqueName="[FactVentas].[Region].[All]" allUniqueName="[FactVentas].[Region].[All]" dimensionUniqueName="[FactVentas]" displayFolder="" count="2" memberValueDatatype="130" unbalanced="0"/>
    <cacheHierarchy uniqueName="[FactVentas].[VentaNeta]" caption="VentaNeta" attribute="1" defaultMemberUniqueName="[FactVentas].[VentaNeta].[All]" allUniqueName="[FactVentas].[VentaNeta].[All]" dimensionUniqueName="[FactVentas]" displayFolder="" count="2" memberValueDatatype="5" unbalanced="0"/>
    <cacheHierarchy uniqueName="[FactVentas].[CostoTotal]" caption="CostoTotal" attribute="1" defaultMemberUniqueName="[FactVentas].[CostoTotal].[All]" allUniqueName="[FactVentas].[CostoTotal].[All]" dimensionUniqueName="[FactVentas]" displayFolder="" count="2" memberValueDatatype="5" unbalanced="0"/>
    <cacheHierarchy uniqueName="[tblProductos].[ProductoID]" caption="ProductoID" attribute="1" defaultMemberUniqueName="[tblProductos].[ProductoID].[All]" allUniqueName="[tblProductos].[ProductoID].[All]" dimensionUniqueName="[tblProductos]" displayFolder="" count="2" memberValueDatatype="130" unbalanced="0"/>
    <cacheHierarchy uniqueName="[tblProductos].[Producto]" caption="Producto" attribute="1" defaultMemberUniqueName="[tblProductos].[Producto].[All]" allUniqueName="[tblProductos].[Producto].[All]" dimensionUniqueName="[tblProductos]" displayFolder="" count="2" memberValueDatatype="130" unbalanced="0"/>
    <cacheHierarchy uniqueName="[tblProductos].[Categoria]" caption="Categoria" attribute="1" defaultMemberUniqueName="[tblProductos].[Categoria].[All]" allUniqueName="[tblProductos].[Categoria].[All]" dimensionUniqueName="[tblProductos]" displayFolder="" count="2" memberValueDatatype="130" unbalanced="0"/>
    <cacheHierarchy uniqueName="[tblProductos].[Marca]" caption="Marca" attribute="1" defaultMemberUniqueName="[tblProductos].[Marca].[All]" allUniqueName="[tblProductos].[Marca].[All]" dimensionUniqueName="[tblProductos]" displayFolder="" count="2" memberValueDatatype="130" unbalanced="0"/>
    <cacheHierarchy uniqueName="[tblProductos].[PrecioLista]" caption="PrecioLista" attribute="1" defaultMemberUniqueName="[tblProductos].[PrecioLista].[All]" allUniqueName="[tblProductos].[PrecioLista].[All]" dimensionUniqueName="[tblProductos]" displayFolder="" count="2" memberValueDatatype="20" unbalanced="0"/>
    <cacheHierarchy uniqueName="[tblProductos].[CostoBase]" caption="CostoBase" attribute="1" defaultMemberUniqueName="[tblProductos].[CostoBase].[All]" allUniqueName="[tblProductos].[CostoBase].[All]" dimensionUniqueName="[tblProductos]" displayFolder="" count="2" memberValueDatatype="5" unbalanced="0"/>
    <cacheHierarchy uniqueName="[Measures].[TotalVentas]" caption="TotalVentas" measure="1" displayFolder="" measureGroup="FactVentas" count="0" oneField="1">
      <fieldsUsage count="1">
        <fieldUsage x="0"/>
      </fieldsUsage>
    </cacheHierarchy>
    <cacheHierarchy uniqueName="[Measures].[MargenNeto]" caption="MargenNeto" measure="1" displayFolder="" measureGroup="FactVentas" count="0"/>
    <cacheHierarchy uniqueName="[Measures].[CantidadVentas]" caption="CantidadVentas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DimCalendario]" caption="__XL_Count DimCalendario" measure="1" displayFolder="" measureGroup="DimCalendario" count="0" hidden="1"/>
    <cacheHierarchy uniqueName="[Measures].[__XL_Count tblProductos]" caption="__XL_Count tblProductos" measure="1" displayFolder="" measureGroup="tblProductos" count="0" hidden="1"/>
    <cacheHierarchy uniqueName="[Measures].[__No measures defined]" caption="__No measures defined" measure="1" displayFolder="" count="0" hidden="1"/>
  </cacheHierarchies>
  <kpis count="0"/>
  <dimensions count="6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  <dimension name="tblProductos" uniqueName="[tblProductos]" caption="tblProductos"/>
  </dimensions>
  <measureGroups count="5">
    <measureGroup name="DimCalendario" caption="DimCalendario"/>
    <measureGroup name="DimClientes" caption="DimClientes"/>
    <measureGroup name="DimProductos" caption="DimProductos"/>
    <measureGroup name="FactVentas" caption="FactVentas"/>
    <measureGroup name="tblProductos" caption="tblProductos"/>
  </measureGroups>
  <maps count="8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8.479109490741" backgroundQuery="1" createdVersion="3" refreshedVersion="7" minRefreshableVersion="3" recordCount="0" supportSubquery="1" supportAdvancedDrill="1" xr:uid="{598115A6-0275-4092-9461-F4137B49DC5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DimCalendario].[Fecha]" caption="Fecha" attribute="1" time="1" defaultMemberUniqueName="[DimCalendario].[Fecha].[All]" allUniqueName="[DimCalendario].[Fecha].[All]" dimensionUniqueName="[DimCalendario]" displayFolder="" count="0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0" memberValueDatatype="20" unbalanced="0"/>
    <cacheHierarchy uniqueName="[DimCalendario].[MesNumero]" caption="MesNumero" attribute="1" defaultMemberUniqueName="[DimCalendario].[MesNumero].[All]" allUniqueName="[DimCalendario].[MesNumero].[All]" dimensionUniqueName="[DimCalendario]" displayFolder="" count="0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/>
    <cacheHierarchy uniqueName="[DimCalendario].[Trimestre]" caption="Trimestre" attribute="1" defaultMemberUniqueName="[DimCalendario].[Trimestre].[All]" allUniqueName="[DimCalendario].[Trimestre].[All]" dimensionUniqueName="[DimCalendario]" displayFolder="" count="0" memberValueDatatype="130" unbalanced="0"/>
    <cacheHierarchy uniqueName="[DimCalendario].[DiaSemana]" caption="DiaSemana" attribute="1" defaultMemberUniqueName="[DimCalendario].[DiaSemana].[All]" allUniqueName="[DimCalendario].[DiaSemana].[All]" dimensionUniqueName="[DimCalendario]" displayFolder="" count="0" memberValueDatatype="130" unbalanced="0"/>
    <cacheHierarchy uniqueName="[DimClientes].[ClienteID]" caption="ClienteID" attribute="1" defaultMemberUniqueName="[DimClientes].[ClienteID].[All]" allUniqueName="[DimClientes].[ClienteID].[All]" dimensionUniqueName="[DimClientes]" displayFolder="" count="0" memberValueDatatype="130" unbalanced="0"/>
    <cacheHierarchy uniqueName="[DimClientes].[Cliente]" caption="Cliente" attribute="1" defaultMemberUniqueName="[DimClientes].[Cliente].[All]" allUniqueName="[DimClientes].[Cliente].[All]" dimensionUniqueName="[DimClientes]" displayFolder="" count="0" memberValueDatatype="130" unbalanced="0"/>
    <cacheHierarchy uniqueName="[DimClientes].[Segmento]" caption="Segmento" attribute="1" defaultMemberUniqueName="[DimClientes].[Segmento].[All]" allUniqueName="[DimClientes].[Segmento].[All]" dimensionUniqueName="[DimClientes]" displayFolder="" count="0" memberValueDatatype="130" unbalanced="0"/>
    <cacheHierarchy uniqueName="[DimClientes].[Provincia]" caption="Provincia" attribute="1" defaultMemberUniqueName="[DimClientes].[Provincia].[All]" allUniqueName="[DimClientes].[Provincia].[All]" dimensionUniqueName="[DimClientes]" displayFolder="" count="0" memberValueDatatype="130" unbalanced="0"/>
    <cacheHierarchy uniqueName="[DimClientes].[Ciudad]" caption="Ciudad" attribute="1" defaultMemberUniqueName="[DimClientes].[Ciudad].[All]" allUniqueName="[DimClientes].[Ciudad].[All]" dimensionUniqueName="[DimClientes]" displayFolder="" count="0" memberValueDatatype="130" unbalanced="0"/>
    <cacheHierarchy uniqueName="[DimProductos].[ProductoID]" caption="ProductoID" attribute="1" defaultMemberUniqueName="[DimProductos].[ProductoID].[All]" allUniqueName="[DimProductos].[ProductoID].[All]" dimensionUniqueName="[DimProductos]" displayFolder="" count="0" memberValueDatatype="130" unbalanced="0"/>
    <cacheHierarchy uniqueName="[DimProductos].[Producto]" caption="Producto" attribute="1" defaultMemberUniqueName="[DimProductos].[Producto].[All]" allUniqueName="[DimProductos].[Producto].[All]" dimensionUniqueName="[DimProductos]" displayFolder="" count="0" memberValueDatatype="130" unbalanced="0"/>
    <cacheHierarchy uniqueName="[DimProductos].[Categoria]" caption="Categoria" attribute="1" defaultMemberUniqueName="[DimProductos].[Categoria].[All]" allUniqueName="[DimProductos].[Categoria].[All]" dimensionUniqueName="[DimProductos]" displayFolder="" count="2" memberValueDatatype="130" unbalanced="0"/>
    <cacheHierarchy uniqueName="[DimProductos].[Marca]" caption="Marca" attribute="1" defaultMemberUniqueName="[DimProductos].[Marca].[All]" allUniqueName="[DimProductos].[Marca].[All]" dimensionUniqueName="[DimProductos]" displayFolder="" count="0" memberValueDatatype="130" unbalanced="0"/>
    <cacheHierarchy uniqueName="[DimProductos].[PrecioLista]" caption="PrecioLista" attribute="1" defaultMemberUniqueName="[DimProductos].[PrecioLista].[All]" allUniqueName="[DimProductos].[PrecioLista].[All]" dimensionUniqueName="[DimProductos]" displayFolder="" count="0" memberValueDatatype="20" unbalanced="0"/>
    <cacheHierarchy uniqueName="[DimProductos].[CostoBase]" caption="CostoBase" attribute="1" defaultMemberUniqueName="[DimProductos].[CostoBase].[All]" allUniqueName="[DimProductos].[CostoBase].[All]" dimensionUniqueName="[DimProductos]" displayFolder="" count="0" memberValueDatatype="5" unbalanced="0"/>
    <cacheHierarchy uniqueName="[FactVentas].[VentaID]" caption="VentaID" attribute="1" defaultMemberUniqueName="[FactVentas].[VentaID].[All]" allUniqueName="[FactVentas].[VentaID].[All]" dimensionUniqueName="[FactVentas]" displayFolder="" count="0" memberValueDatatype="130" unbalanced="0"/>
    <cacheHierarchy uniqueName="[FactVentas].[Fecha]" caption="Fecha" attribute="1" time="1" defaultMemberUniqueName="[FactVentas].[Fecha].[All]" allUniqueName="[FactVentas].[Fecha].[All]" dimensionUniqueName="[FactVentas]" displayFolder="" count="0" memberValueDatatype="7" unbalanced="0"/>
    <cacheHierarchy uniqueName="[FactVentas].[ClienteID]" caption="ClienteID" attribute="1" defaultMemberUniqueName="[FactVentas].[ClienteID].[All]" allUniqueName="[FactVentas].[ClienteID].[All]" dimensionUniqueName="[FactVentas]" displayFolder="" count="0" memberValueDatatype="130" unbalanced="0"/>
    <cacheHierarchy uniqueName="[FactVentas].[ProductoID]" caption="ProductoID" attribute="1" defaultMemberUniqueName="[FactVentas].[ProductoID].[All]" allUniqueName="[FactVentas].[ProductoID].[All]" dimensionUniqueName="[FactVentas]" displayFolder="" count="0" memberValueDatatype="130" unbalanced="0"/>
    <cacheHierarchy uniqueName="[FactVentas].[Unidades]" caption="Unidades" attribute="1" defaultMemberUniqueName="[FactVentas].[Unidades].[All]" allUniqueName="[FactVentas].[Unidades].[All]" dimensionUniqueName="[FactVentas]" displayFolder="" count="0" memberValueDatatype="20" unbalanced="0"/>
    <cacheHierarchy uniqueName="[FactVentas].[PrecioUnitario]" caption="PrecioUnitario" attribute="1" defaultMemberUniqueName="[FactVentas].[PrecioUnitario].[All]" allUniqueName="[FactVentas].[PrecioUnitario].[All]" dimensionUniqueName="[FactVentas]" displayFolder="" count="0" memberValueDatatype="5" unbalanced="0"/>
    <cacheHierarchy uniqueName="[FactVentas].[CostoUnitario]" caption="CostoUnitario" attribute="1" defaultMemberUniqueName="[FactVentas].[CostoUnitario].[All]" allUniqueName="[FactVentas].[CostoUnitario].[All]" dimensionUniqueName="[FactVentas]" displayFolder="" count="0" memberValueDatatype="5" unbalanced="0"/>
    <cacheHierarchy uniqueName="[FactVentas].[DescuentoPct]" caption="DescuentoPct" attribute="1" defaultMemberUniqueName="[FactVentas].[DescuentoPct].[All]" allUniqueName="[FactVentas].[DescuentoPct].[All]" dimensionUniqueName="[FactVentas]" displayFolder="" count="0" memberValueDatatype="5" unbalanced="0"/>
    <cacheHierarchy uniqueName="[FactVentas].[CostoEnvio]" caption="CostoEnvio" attribute="1" defaultMemberUniqueName="[FactVentas].[CostoEnvio].[All]" allUniqueName="[FactVentas].[CostoEnvio].[All]" dimensionUniqueName="[FactVentas]" displayFolder="" count="0" memberValueDatatype="5" unbalanced="0"/>
    <cacheHierarchy uniqueName="[FactVentas].[Canal]" caption="Canal" attribute="1" defaultMemberUniqueName="[FactVentas].[Canal].[All]" allUniqueName="[FactVentas].[Canal].[All]" dimensionUniqueName="[FactVentas]" displayFolder="" count="0" memberValueDatatype="130" unbalanced="0"/>
    <cacheHierarchy uniqueName="[FactVentas].[Region]" caption="Region" attribute="1" defaultMemberUniqueName="[FactVentas].[Region].[All]" allUniqueName="[FactVentas].[Region].[All]" dimensionUniqueName="[FactVentas]" displayFolder="" count="2" memberValueDatatype="130" unbalanced="0"/>
    <cacheHierarchy uniqueName="[FactVentas].[VentaNeta]" caption="VentaNeta" attribute="1" defaultMemberUniqueName="[FactVentas].[VentaNeta].[All]" allUniqueName="[FactVentas].[VentaNeta].[All]" dimensionUniqueName="[FactVentas]" displayFolder="" count="0" memberValueDatatype="5" unbalanced="0"/>
    <cacheHierarchy uniqueName="[FactVentas].[CostoTotal]" caption="CostoTotal" attribute="1" defaultMemberUniqueName="[FactVentas].[CostoTotal].[All]" allUniqueName="[FactVentas].[CostoTotal].[All]" dimensionUniqueName="[FactVentas]" displayFolder="" count="0" memberValueDatatype="5" unbalanced="0"/>
    <cacheHierarchy uniqueName="[tblProductos].[ProductoID]" caption="ProductoID" attribute="1" defaultMemberUniqueName="[tblProductos].[ProductoID].[All]" allUniqueName="[tblProductos].[ProductoID].[All]" dimensionUniqueName="[tblProductos]" displayFolder="" count="0" memberValueDatatype="130" unbalanced="0"/>
    <cacheHierarchy uniqueName="[tblProductos].[Producto]" caption="Producto" attribute="1" defaultMemberUniqueName="[tblProductos].[Producto].[All]" allUniqueName="[tblProductos].[Producto].[All]" dimensionUniqueName="[tblProductos]" displayFolder="" count="0" memberValueDatatype="130" unbalanced="0"/>
    <cacheHierarchy uniqueName="[tblProductos].[Categoria]" caption="Categoria" attribute="1" defaultMemberUniqueName="[tblProductos].[Categoria].[All]" allUniqueName="[tblProductos].[Categoria].[All]" dimensionUniqueName="[tblProductos]" displayFolder="" count="0" memberValueDatatype="130" unbalanced="0"/>
    <cacheHierarchy uniqueName="[tblProductos].[Marca]" caption="Marca" attribute="1" defaultMemberUniqueName="[tblProductos].[Marca].[All]" allUniqueName="[tblProductos].[Marca].[All]" dimensionUniqueName="[tblProductos]" displayFolder="" count="0" memberValueDatatype="130" unbalanced="0"/>
    <cacheHierarchy uniqueName="[tblProductos].[PrecioLista]" caption="PrecioLista" attribute="1" defaultMemberUniqueName="[tblProductos].[PrecioLista].[All]" allUniqueName="[tblProductos].[PrecioLista].[All]" dimensionUniqueName="[tblProductos]" displayFolder="" count="0" memberValueDatatype="20" unbalanced="0"/>
    <cacheHierarchy uniqueName="[tblProductos].[CostoBase]" caption="CostoBase" attribute="1" defaultMemberUniqueName="[tblProductos].[CostoBase].[All]" allUniqueName="[tblProductos].[CostoBase].[All]" dimensionUniqueName="[tblProductos]" displayFolder="" count="0" memberValueDatatype="5" unbalanced="0"/>
    <cacheHierarchy uniqueName="[Measures].[TotalVentas]" caption="TotalVentas" measure="1" displayFolder="" measureGroup="FactVentas" count="0"/>
    <cacheHierarchy uniqueName="[Measures].[MargenNeto]" caption="MargenNeto" measure="1" displayFolder="" measureGroup="FactVentas" count="0"/>
    <cacheHierarchy uniqueName="[Measures].[CantidadVentas]" caption="CantidadVentas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Clientes]" caption="__XL_Count DimClientes" measure="1" displayFolder="" measureGroup="DimClientes" count="0" hidden="1"/>
    <cacheHierarchy uniqueName="[Measures].[__XL_Count DimProductos]" caption="__XL_Count DimProductos" measure="1" displayFolder="" measureGroup="DimProductos" count="0" hidden="1"/>
    <cacheHierarchy uniqueName="[Measures].[__XL_Count DimCalendario]" caption="__XL_Count DimCalendario" measure="1" displayFolder="" measureGroup="DimCalendario" count="0" hidden="1"/>
    <cacheHierarchy uniqueName="[Measures].[__XL_Count tblProductos]" caption="__XL_Count tblProductos" measure="1" displayFolder="" measureGroup="tblProduct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1466355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5E0BA-9574-4E86-AA82-CB1B27FBF516}" name="TablaDinámica3" cacheId="275" applyNumberFormats="0" applyBorderFormats="0" applyFontFormats="0" applyPatternFormats="0" applyAlignmentFormats="0" applyWidthHeightFormats="1" dataCaption="Valores" tag="3e4c3c85-ad4e-4292-987e-63c675f50178" updatedVersion="7" minRefreshableVersion="3" useAutoFormatting="1" itemPrintTitles="1" createdVersion="7" indent="0" outline="1" outlineData="1" multipleFieldFilters="0" chartFormat="3">
  <location ref="E6:F19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alendario]"/>
        <x15:activeTabTopLevelEntity name="[Fact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1A771-EFA7-4C97-9491-1085EADF30C2}" name="TablaDinámica2" cacheId="281" applyNumberFormats="0" applyBorderFormats="0" applyFontFormats="0" applyPatternFormats="0" applyAlignmentFormats="0" applyWidthHeightFormats="1" dataCaption="Valores" tag="887d9927-b35e-4efb-ae48-ece3313b591a" updatedVersion="7" minRefreshableVersion="3" useAutoFormatting="1" itemPrintTitles="1" createdVersion="7" indent="0" outline="1" outlineData="1" multipleFieldFilters="0" chartFormat="3">
  <location ref="A6:B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Productos]"/>
        <x15:activeTabTopLevelEntity name="[FactVentas]"/>
        <x15:activeTabTopLevelEntity name="[Dim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95090-8023-4F18-A829-1AE5E97F4464}" name="TablaDinámica1" cacheId="278" applyNumberFormats="0" applyBorderFormats="0" applyFontFormats="0" applyPatternFormats="0" applyAlignmentFormats="0" applyWidthHeightFormats="1" dataCaption="Valores" tag="62550899-d6a4-4d03-8b49-373f21416780" updatedVersion="7" minRefreshableVersion="3" useAutoFormatting="1" subtotalHiddenItems="1" itemPrintTitles="1" createdVersion="7" indent="0" outline="1" outlineData="1" multipleFieldFilters="0">
  <location ref="A1:C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45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57C00140-1FEF-4550-8BEC-E4E2DEF7E013}" sourceName="[DimCalendario].[Mes]">
  <pivotTables>
    <pivotTable tabId="9" name="TablaDinámica3"/>
    <pivotTable tabId="9" name="TablaDinámica1"/>
    <pivotTable tabId="9" name="TablaDinámica2"/>
  </pivotTables>
  <data>
    <olap pivotCacheId="1614663559">
      <levels count="2">
        <level uniqueName="[DimCalendario].[Mes].[(All)]" sourceCaption="(All)" count="0"/>
        <level uniqueName="[DimCalendario].[Mes].[Mes]" sourceCaption="Mes" count="12">
          <ranges>
            <range startItem="0">
              <i n="[DimCalendario].[Mes].&amp;[Enero]" c="Enero"/>
              <i n="[DimCalendario].[Mes].&amp;[Febrero]" c="Febrero"/>
              <i n="[DimCalendario].[Mes].&amp;[Marzo]" c="Marzo"/>
              <i n="[DimCalendario].[Mes].&amp;[Abril]" c="Abril"/>
              <i n="[DimCalendario].[Mes].&amp;[Mayo]" c="Mayo"/>
              <i n="[DimCalendario].[Mes].&amp;[Junio]" c="Junio"/>
              <i n="[DimCalendario].[Mes].&amp;[Julio]" c="Julio"/>
              <i n="[DimCalendario].[Mes].&amp;[Agosto]" c="Agosto"/>
              <i n="[DimCalendario].[Mes].&amp;[Septiembre]" c="Septiembre"/>
              <i n="[DimCalendario].[Mes].&amp;[Octubre]" c="Octubre"/>
              <i n="[DimCalendario].[Mes].&amp;[Noviembre]" c="Noviembre"/>
              <i n="[DimCalendario].[Mes].&amp;[Diciembre]" c="Diciembre"/>
            </range>
          </ranges>
        </level>
      </levels>
      <selections count="1">
        <selection n="[DimCalendario].[Me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54FD9225-08B9-488D-BCF0-70F75D3E1ED6}" sourceName="[DimProductos].[Categoria]">
  <pivotTables>
    <pivotTable tabId="9" name="TablaDinámica2"/>
    <pivotTable tabId="9" name="TablaDinámica1"/>
    <pivotTable tabId="9" name="TablaDinámica3"/>
  </pivotTables>
  <data>
    <olap pivotCacheId="1614663559">
      <levels count="2">
        <level uniqueName="[DimProductos].[Categoria].[(All)]" sourceCaption="(All)" count="0"/>
        <level uniqueName="[DimProductos].[Categoria].[Categoria]" sourceCaption="Categoria" count="4">
          <ranges>
            <range startItem="0">
              <i n="[DimProductos].[Categoria].&amp;[Accesorios]" c="Accesorios"/>
              <i n="[DimProductos].[Categoria].&amp;[Muebles]" c="Muebles"/>
              <i n="[DimProductos].[Categoria].&amp;[Oficina]" c="Oficina"/>
              <i n="[DimProductos].[Categoria].&amp;[Tecnología]" c="Tecnología"/>
            </range>
          </ranges>
        </level>
      </levels>
      <selections count="1">
        <selection n="[DimProductos].[Categori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B1DB0402-50F6-41D9-85FB-079237604E7F}" sourceName="[FactVentas].[Region]">
  <pivotTables>
    <pivotTable tabId="9" name="TablaDinámica3"/>
    <pivotTable tabId="9" name="TablaDinámica1"/>
    <pivotTable tabId="9" name="TablaDinámica2"/>
  </pivotTables>
  <data>
    <olap pivotCacheId="1614663559">
      <levels count="2">
        <level uniqueName="[FactVentas].[Region].[(All)]" sourceCaption="(All)" count="0"/>
        <level uniqueName="[FactVentas].[Region].[Region]" sourceCaption="Region" count="6">
          <ranges>
            <range startItem="0">
              <i n="[FactVentas].[Region].&amp;[Centro]" c="Centro"/>
              <i n="[FactVentas].[Region].&amp;[Cuyo]" c="Cuyo"/>
              <i n="[FactVentas].[Region].&amp;[Litoral]" c="Litoral"/>
              <i n="[FactVentas].[Region].&amp;[Nea]" c="Nea"/>
              <i n="[FactVentas].[Region].&amp;[Noa]" c="Noa"/>
              <i n="[FactVentas].[Region].&amp;[Patagonia]" c="Patagonia"/>
            </range>
          </ranges>
        </level>
      </levels>
      <selections count="1">
        <selection n="[FactVentas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48F5186F-045E-4E43-8F3B-9CDA5EF407C9}" cache="SegmentaciónDeDatos_Mes" caption="Mes" level="1" style="SlicerStyleLight6" rowHeight="241300"/>
  <slicer name="Categoria" xr10:uid="{F1FAD203-A9A9-4290-86F4-A2BF87B13C52}" cache="SegmentaciónDeDatos_Categoria" caption="Categoria" level="1" style="SlicerStyleLight6" rowHeight="241300"/>
  <slicer name="Region" xr10:uid="{93E0A914-7332-49A0-9D1E-8500A684C28F}" cache="SegmentaciónDeDatos_Region" caption="Region" level="1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2DF1D-BBFE-4AEC-B53A-6C80AA6C041A}" name="tblRawVentas" displayName="tblRawVentas" ref="A1:K361" totalsRowShown="0" headerRowDxfId="13" dataDxfId="12" tableBorderDxfId="11">
  <autoFilter ref="A1:K361" xr:uid="{C162DF1D-BBFE-4AEC-B53A-6C80AA6C041A}"/>
  <tableColumns count="11">
    <tableColumn id="1" xr3:uid="{41837756-3D55-47C2-8757-398225796F8B}" name="VentaID" dataDxfId="10"/>
    <tableColumn id="2" xr3:uid="{10EA7ACD-13AE-4C5D-96A1-A35A3548BF27}" name="Fecha" dataDxfId="9"/>
    <tableColumn id="3" xr3:uid="{A10462DF-57DF-4048-8510-D98FA6C445A3}" name="ClienteID" dataDxfId="8"/>
    <tableColumn id="4" xr3:uid="{CC840978-E2E6-4D0B-8E25-AA3B92F7632A}" name="ProductoID" dataDxfId="7"/>
    <tableColumn id="5" xr3:uid="{6FEA9338-DCAC-4FCC-A708-287B908546E0}" name="Unidades" dataDxfId="6"/>
    <tableColumn id="6" xr3:uid="{F8349B3A-6DF8-42CE-B0D2-1D46955444AD}" name="PrecioUnitario" dataDxfId="5"/>
    <tableColumn id="7" xr3:uid="{6501D351-09F7-4BA4-B73D-E68994999A33}" name="CostoUnitario" dataDxfId="4"/>
    <tableColumn id="8" xr3:uid="{F993709D-C6F0-426E-9226-F3B288652AA6}" name="DescuentoPct" dataDxfId="3"/>
    <tableColumn id="9" xr3:uid="{30660603-2097-4AD6-B3B9-2CCF814C691B}" name="CostoEnvio" dataDxfId="2"/>
    <tableColumn id="10" xr3:uid="{F36C1F01-5E78-41DB-9CDC-27C06324B31E}" name="Canal" dataDxfId="1"/>
    <tableColumn id="11" xr3:uid="{DEAB458C-E465-49F6-B24C-A4321D155B9D}" name="Reg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79900-5479-49B6-AD05-1ED5BD04B450}" name="tblClientes" displayName="tblClientes" ref="A1:E81" totalsRowShown="0">
  <tableColumns count="5">
    <tableColumn id="1" xr3:uid="{AC6D600A-2DC0-4E82-8B94-CC991E802207}" name="ClienteID"/>
    <tableColumn id="2" xr3:uid="{24C37466-E259-492A-9810-8D92520EFD27}" name="Cliente"/>
    <tableColumn id="3" xr3:uid="{BCF357CD-712F-4567-AAE3-67C38905594C}" name="Segmento"/>
    <tableColumn id="4" xr3:uid="{3DC2E291-77CC-4CEA-B3E6-18368A679466}" name="Provincia"/>
    <tableColumn id="5" xr3:uid="{C8771A1A-DAC8-4815-A178-B9FB3CB34030}" name="Ciu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DA3244-E3BB-4D4C-A8A9-019F3B91892E}" name="tblProductos" displayName="tblProductos" ref="A1:F25" totalsRowShown="0">
  <tableColumns count="6">
    <tableColumn id="1" xr3:uid="{507DB7DA-CB2B-460C-B0D4-40D73523D0EF}" name="ProductoID"/>
    <tableColumn id="2" xr3:uid="{4DD50164-369C-4506-BE20-AC376541F8B1}" name="Producto"/>
    <tableColumn id="3" xr3:uid="{05EFDCF8-5E4A-41EA-9C84-B1452B39233F}" name="Categoria"/>
    <tableColumn id="4" xr3:uid="{941EF942-7FFC-4A92-B75F-A8D43A026E3A}" name="Marca"/>
    <tableColumn id="5" xr3:uid="{BEF7C62C-6D47-49D4-AF16-B724703C8521}" name="PrecioLista"/>
    <tableColumn id="6" xr3:uid="{A2B41E66-211A-429A-80F5-6444B8D30918}" name="CostoBa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D3455F-EBE8-455A-BF0F-8F50A40D30E4}" name="tblCalendario" displayName="tblCalendario" ref="A1:F366" totalsRowShown="0">
  <tableColumns count="6">
    <tableColumn id="1" xr3:uid="{ED2E2027-0172-48C3-9BA3-6EA246B2A17B}" name="Fecha"/>
    <tableColumn id="2" xr3:uid="{39620AD7-20B2-486E-874F-8944F226A596}" name="Año"/>
    <tableColumn id="3" xr3:uid="{1E50BC93-8E14-4BDF-A3A6-A433170FFDB4}" name="MesNumero"/>
    <tableColumn id="4" xr3:uid="{64462241-BED3-4626-99A5-38DCAB31D993}" name="Mes"/>
    <tableColumn id="5" xr3:uid="{57FFCB7C-22FF-4118-B793-7DC49909E5A8}" name="Trimestre"/>
    <tableColumn id="6" xr3:uid="{5966FCF3-939C-4A7B-A31E-F2B6963A00BE}" name="Dia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3E43-0CE3-48F4-B864-65463EC09C2E}">
  <dimension ref="A1:D351"/>
  <sheetViews>
    <sheetView workbookViewId="0">
      <selection activeCell="C4" sqref="C4"/>
    </sheetView>
  </sheetViews>
  <sheetFormatPr baseColWidth="10" defaultRowHeight="15"/>
  <sheetData>
    <row r="1" spans="1:4">
      <c r="A1" s="3" t="s">
        <v>0</v>
      </c>
      <c r="C1" s="8" t="s">
        <v>0</v>
      </c>
      <c r="D1" s="8"/>
    </row>
    <row r="2" spans="1:4">
      <c r="A2" s="4">
        <v>114000</v>
      </c>
      <c r="C2" s="5"/>
      <c r="D2" s="5"/>
    </row>
    <row r="3" spans="1:4">
      <c r="A3" s="4">
        <v>405000</v>
      </c>
      <c r="C3" s="5" t="s">
        <v>1</v>
      </c>
      <c r="D3" s="5">
        <v>313114.14285714284</v>
      </c>
    </row>
    <row r="4" spans="1:4">
      <c r="A4" s="4">
        <v>161500</v>
      </c>
      <c r="C4" s="5" t="s">
        <v>2</v>
      </c>
      <c r="D4" s="5">
        <v>14779.081269283419</v>
      </c>
    </row>
    <row r="5" spans="1:4">
      <c r="A5" s="4">
        <v>54400</v>
      </c>
      <c r="C5" s="5" t="s">
        <v>3</v>
      </c>
      <c r="D5" s="5">
        <v>216000</v>
      </c>
    </row>
    <row r="6" spans="1:4">
      <c r="A6" s="4">
        <v>237600</v>
      </c>
      <c r="C6" s="5" t="s">
        <v>4</v>
      </c>
      <c r="D6" s="5">
        <v>216000</v>
      </c>
    </row>
    <row r="7" spans="1:4">
      <c r="A7" s="4">
        <v>91200</v>
      </c>
      <c r="C7" s="5" t="s">
        <v>5</v>
      </c>
      <c r="D7" s="5">
        <v>276491.29300473351</v>
      </c>
    </row>
    <row r="8" spans="1:4">
      <c r="A8" s="4">
        <v>187000</v>
      </c>
      <c r="C8" s="5" t="s">
        <v>6</v>
      </c>
      <c r="D8" s="5">
        <v>76447435107.429382</v>
      </c>
    </row>
    <row r="9" spans="1:4">
      <c r="A9" s="4">
        <v>990000</v>
      </c>
      <c r="C9" s="5" t="s">
        <v>7</v>
      </c>
      <c r="D9" s="5">
        <v>1.5835605124617982</v>
      </c>
    </row>
    <row r="10" spans="1:4">
      <c r="A10" s="4">
        <v>320000</v>
      </c>
      <c r="C10" s="5" t="s">
        <v>8</v>
      </c>
      <c r="D10" s="5">
        <v>1.4320193942602559</v>
      </c>
    </row>
    <row r="11" spans="1:4">
      <c r="A11" s="4">
        <v>180000</v>
      </c>
      <c r="C11" s="5" t="s">
        <v>9</v>
      </c>
      <c r="D11" s="5">
        <v>1309200</v>
      </c>
    </row>
    <row r="12" spans="1:4">
      <c r="A12" s="4">
        <v>440000</v>
      </c>
      <c r="C12" s="5" t="s">
        <v>10</v>
      </c>
      <c r="D12" s="5">
        <v>10800</v>
      </c>
    </row>
    <row r="13" spans="1:4">
      <c r="A13" s="4">
        <v>770000</v>
      </c>
      <c r="C13" s="5" t="s">
        <v>11</v>
      </c>
      <c r="D13" s="5">
        <v>1320000</v>
      </c>
    </row>
    <row r="14" spans="1:4">
      <c r="A14" s="4">
        <v>128000</v>
      </c>
      <c r="C14" s="5" t="s">
        <v>12</v>
      </c>
      <c r="D14" s="5">
        <v>109589950</v>
      </c>
    </row>
    <row r="15" spans="1:4" ht="15.75" thickBot="1">
      <c r="A15" s="4">
        <v>122400</v>
      </c>
      <c r="C15" s="6" t="s">
        <v>13</v>
      </c>
      <c r="D15" s="6">
        <v>350</v>
      </c>
    </row>
    <row r="16" spans="1:4">
      <c r="A16" s="4">
        <v>361250</v>
      </c>
    </row>
    <row r="17" spans="1:1">
      <c r="A17" s="4">
        <v>18000</v>
      </c>
    </row>
    <row r="18" spans="1:1">
      <c r="A18" s="4">
        <v>320000</v>
      </c>
    </row>
    <row r="19" spans="1:1">
      <c r="A19" s="4">
        <v>540000</v>
      </c>
    </row>
    <row r="20" spans="1:1">
      <c r="A20" s="4">
        <v>288000</v>
      </c>
    </row>
    <row r="21" spans="1:1">
      <c r="A21" s="4">
        <v>76500</v>
      </c>
    </row>
    <row r="22" spans="1:1">
      <c r="A22" s="4">
        <v>240000</v>
      </c>
    </row>
    <row r="23" spans="1:1">
      <c r="A23" s="4">
        <v>216000</v>
      </c>
    </row>
    <row r="24" spans="1:1">
      <c r="A24" s="4">
        <v>128000</v>
      </c>
    </row>
    <row r="25" spans="1:1">
      <c r="A25" s="4">
        <v>794750</v>
      </c>
    </row>
    <row r="26" spans="1:1">
      <c r="A26" s="4">
        <v>170000</v>
      </c>
    </row>
    <row r="27" spans="1:1">
      <c r="A27" s="4">
        <v>352000</v>
      </c>
    </row>
    <row r="28" spans="1:1">
      <c r="A28" s="4">
        <v>64000</v>
      </c>
    </row>
    <row r="29" spans="1:1">
      <c r="A29" s="4">
        <v>172800</v>
      </c>
    </row>
    <row r="30" spans="1:1">
      <c r="A30" s="4">
        <v>256000</v>
      </c>
    </row>
    <row r="31" spans="1:1">
      <c r="A31" s="4">
        <v>187000</v>
      </c>
    </row>
    <row r="32" spans="1:1">
      <c r="A32" s="4">
        <v>180000</v>
      </c>
    </row>
    <row r="33" spans="1:1">
      <c r="A33" s="4">
        <v>841500</v>
      </c>
    </row>
    <row r="34" spans="1:1">
      <c r="A34" s="4">
        <v>396000</v>
      </c>
    </row>
    <row r="35" spans="1:1">
      <c r="A35" s="4">
        <v>1320000</v>
      </c>
    </row>
    <row r="36" spans="1:1">
      <c r="A36" s="4">
        <v>1254000</v>
      </c>
    </row>
    <row r="37" spans="1:1">
      <c r="A37" s="4">
        <v>60800</v>
      </c>
    </row>
    <row r="38" spans="1:1">
      <c r="A38" s="4">
        <v>40500</v>
      </c>
    </row>
    <row r="39" spans="1:1">
      <c r="A39" s="4">
        <v>144500</v>
      </c>
    </row>
    <row r="40" spans="1:1">
      <c r="A40" s="4">
        <v>748000</v>
      </c>
    </row>
    <row r="41" spans="1:1">
      <c r="A41" s="4">
        <v>340000</v>
      </c>
    </row>
    <row r="42" spans="1:1">
      <c r="A42" s="4">
        <v>54400</v>
      </c>
    </row>
    <row r="43" spans="1:1">
      <c r="A43" s="4">
        <v>297000</v>
      </c>
    </row>
    <row r="44" spans="1:1">
      <c r="A44" s="4">
        <v>324000</v>
      </c>
    </row>
    <row r="45" spans="1:1">
      <c r="A45" s="4">
        <v>201600</v>
      </c>
    </row>
    <row r="46" spans="1:1">
      <c r="A46" s="4">
        <v>660000</v>
      </c>
    </row>
    <row r="47" spans="1:1">
      <c r="A47" s="4">
        <v>57000</v>
      </c>
    </row>
    <row r="48" spans="1:1">
      <c r="A48" s="4">
        <v>228000</v>
      </c>
    </row>
    <row r="49" spans="1:1">
      <c r="A49" s="4">
        <v>250800</v>
      </c>
    </row>
    <row r="50" spans="1:1">
      <c r="A50" s="4">
        <v>144000</v>
      </c>
    </row>
    <row r="51" spans="1:1">
      <c r="A51" s="4">
        <v>202500</v>
      </c>
    </row>
    <row r="52" spans="1:1">
      <c r="A52" s="4">
        <v>513000</v>
      </c>
    </row>
    <row r="53" spans="1:1">
      <c r="A53" s="4">
        <v>420000</v>
      </c>
    </row>
    <row r="54" spans="1:1">
      <c r="A54" s="4">
        <v>45000</v>
      </c>
    </row>
    <row r="55" spans="1:1">
      <c r="A55" s="4">
        <v>342000</v>
      </c>
    </row>
    <row r="56" spans="1:1">
      <c r="A56" s="4">
        <v>125400</v>
      </c>
    </row>
    <row r="57" spans="1:1">
      <c r="A57" s="4">
        <v>228000</v>
      </c>
    </row>
    <row r="58" spans="1:1">
      <c r="A58" s="4">
        <v>535500</v>
      </c>
    </row>
    <row r="59" spans="1:1">
      <c r="A59" s="4">
        <v>114000</v>
      </c>
    </row>
    <row r="60" spans="1:1">
      <c r="A60" s="4">
        <v>97200</v>
      </c>
    </row>
    <row r="61" spans="1:1">
      <c r="A61" s="4">
        <v>427500</v>
      </c>
    </row>
    <row r="62" spans="1:1">
      <c r="A62" s="4">
        <v>72000</v>
      </c>
    </row>
    <row r="63" spans="1:1">
      <c r="A63" s="4">
        <v>1100000</v>
      </c>
    </row>
    <row r="64" spans="1:1">
      <c r="A64" s="4">
        <v>1149500</v>
      </c>
    </row>
    <row r="65" spans="1:1">
      <c r="A65" s="4">
        <v>180000</v>
      </c>
    </row>
    <row r="66" spans="1:1">
      <c r="A66" s="4">
        <v>535500</v>
      </c>
    </row>
    <row r="67" spans="1:1">
      <c r="A67" s="4">
        <v>119700</v>
      </c>
    </row>
    <row r="68" spans="1:1">
      <c r="A68" s="4">
        <v>198000</v>
      </c>
    </row>
    <row r="69" spans="1:1">
      <c r="A69" s="4">
        <v>48000</v>
      </c>
    </row>
    <row r="70" spans="1:1">
      <c r="A70" s="4">
        <v>288000</v>
      </c>
    </row>
    <row r="71" spans="1:1">
      <c r="A71" s="4">
        <v>216000</v>
      </c>
    </row>
    <row r="72" spans="1:1">
      <c r="A72" s="4">
        <v>224400</v>
      </c>
    </row>
    <row r="73" spans="1:1">
      <c r="A73" s="4">
        <v>935000</v>
      </c>
    </row>
    <row r="74" spans="1:1">
      <c r="A74" s="4">
        <v>128000</v>
      </c>
    </row>
    <row r="75" spans="1:1">
      <c r="A75" s="4">
        <v>288000</v>
      </c>
    </row>
    <row r="76" spans="1:1">
      <c r="A76" s="4">
        <v>440000</v>
      </c>
    </row>
    <row r="77" spans="1:1">
      <c r="A77" s="4">
        <v>126000</v>
      </c>
    </row>
    <row r="78" spans="1:1">
      <c r="A78" s="4">
        <v>90000</v>
      </c>
    </row>
    <row r="79" spans="1:1">
      <c r="A79" s="4">
        <v>96000</v>
      </c>
    </row>
    <row r="80" spans="1:1">
      <c r="A80" s="4">
        <v>85000</v>
      </c>
    </row>
    <row r="81" spans="1:1">
      <c r="A81" s="4">
        <v>650250</v>
      </c>
    </row>
    <row r="82" spans="1:1">
      <c r="A82" s="4">
        <v>68400</v>
      </c>
    </row>
    <row r="83" spans="1:1">
      <c r="A83" s="4">
        <v>229500</v>
      </c>
    </row>
    <row r="84" spans="1:1">
      <c r="A84" s="4">
        <v>225000</v>
      </c>
    </row>
    <row r="85" spans="1:1">
      <c r="A85" s="4">
        <v>86400</v>
      </c>
    </row>
    <row r="86" spans="1:1">
      <c r="A86" s="4">
        <v>216000</v>
      </c>
    </row>
    <row r="87" spans="1:1">
      <c r="A87" s="4">
        <v>204000</v>
      </c>
    </row>
    <row r="88" spans="1:1">
      <c r="A88" s="4">
        <v>384750</v>
      </c>
    </row>
    <row r="89" spans="1:1">
      <c r="A89" s="4">
        <v>342000</v>
      </c>
    </row>
    <row r="90" spans="1:1">
      <c r="A90" s="4">
        <v>182400</v>
      </c>
    </row>
    <row r="91" spans="1:1">
      <c r="A91" s="4">
        <v>836000</v>
      </c>
    </row>
    <row r="92" spans="1:1">
      <c r="A92" s="4">
        <v>128000</v>
      </c>
    </row>
    <row r="93" spans="1:1">
      <c r="A93" s="4">
        <v>97200</v>
      </c>
    </row>
    <row r="94" spans="1:1">
      <c r="A94" s="4">
        <v>72250</v>
      </c>
    </row>
    <row r="95" spans="1:1">
      <c r="A95" s="4">
        <v>399000</v>
      </c>
    </row>
    <row r="96" spans="1:1">
      <c r="A96" s="4">
        <v>204000</v>
      </c>
    </row>
    <row r="97" spans="1:1">
      <c r="A97" s="4">
        <v>352000</v>
      </c>
    </row>
    <row r="98" spans="1:1">
      <c r="A98" s="4">
        <v>420000</v>
      </c>
    </row>
    <row r="99" spans="1:1">
      <c r="A99" s="4">
        <v>102000</v>
      </c>
    </row>
    <row r="100" spans="1:1">
      <c r="A100" s="4">
        <v>132000</v>
      </c>
    </row>
    <row r="101" spans="1:1">
      <c r="A101" s="4">
        <v>32400</v>
      </c>
    </row>
    <row r="102" spans="1:1">
      <c r="A102" s="4">
        <v>330000</v>
      </c>
    </row>
    <row r="103" spans="1:1">
      <c r="A103" s="4">
        <v>136800</v>
      </c>
    </row>
    <row r="104" spans="1:1">
      <c r="A104" s="4">
        <v>86400</v>
      </c>
    </row>
    <row r="105" spans="1:1">
      <c r="A105" s="4">
        <v>153000</v>
      </c>
    </row>
    <row r="106" spans="1:1">
      <c r="A106" s="4">
        <v>172800</v>
      </c>
    </row>
    <row r="107" spans="1:1">
      <c r="A107" s="4">
        <v>250800</v>
      </c>
    </row>
    <row r="108" spans="1:1">
      <c r="A108" s="4">
        <v>212800</v>
      </c>
    </row>
    <row r="109" spans="1:1">
      <c r="A109" s="4">
        <v>484500</v>
      </c>
    </row>
    <row r="110" spans="1:1">
      <c r="A110" s="4">
        <v>40800</v>
      </c>
    </row>
    <row r="111" spans="1:1">
      <c r="A111" s="4">
        <v>334400</v>
      </c>
    </row>
    <row r="112" spans="1:1">
      <c r="A112" s="4">
        <v>256000</v>
      </c>
    </row>
    <row r="113" spans="1:1">
      <c r="A113" s="4">
        <v>765000</v>
      </c>
    </row>
    <row r="114" spans="1:1">
      <c r="A114" s="4">
        <v>935000</v>
      </c>
    </row>
    <row r="115" spans="1:1">
      <c r="A115" s="4">
        <v>427500</v>
      </c>
    </row>
    <row r="116" spans="1:1">
      <c r="A116" s="4">
        <v>128000</v>
      </c>
    </row>
    <row r="117" spans="1:1">
      <c r="A117" s="4">
        <v>20400</v>
      </c>
    </row>
    <row r="118" spans="1:1">
      <c r="A118" s="4">
        <v>114000</v>
      </c>
    </row>
    <row r="119" spans="1:1">
      <c r="A119" s="4">
        <v>51300</v>
      </c>
    </row>
    <row r="120" spans="1:1">
      <c r="A120" s="4">
        <v>153900</v>
      </c>
    </row>
    <row r="121" spans="1:1">
      <c r="A121" s="4">
        <v>384000</v>
      </c>
    </row>
    <row r="122" spans="1:1">
      <c r="A122" s="4">
        <v>68400</v>
      </c>
    </row>
    <row r="123" spans="1:1">
      <c r="A123" s="4">
        <v>561000</v>
      </c>
    </row>
    <row r="124" spans="1:1">
      <c r="A124" s="4">
        <v>28800</v>
      </c>
    </row>
    <row r="125" spans="1:1">
      <c r="A125" s="4">
        <v>183600</v>
      </c>
    </row>
    <row r="126" spans="1:1">
      <c r="A126" s="4">
        <v>171000</v>
      </c>
    </row>
    <row r="127" spans="1:1">
      <c r="A127" s="4">
        <v>259200</v>
      </c>
    </row>
    <row r="128" spans="1:1">
      <c r="A128" s="4">
        <v>172800</v>
      </c>
    </row>
    <row r="129" spans="1:1">
      <c r="A129" s="4">
        <v>54000</v>
      </c>
    </row>
    <row r="130" spans="1:1">
      <c r="A130" s="4">
        <v>180000</v>
      </c>
    </row>
    <row r="131" spans="1:1">
      <c r="A131" s="4">
        <v>256000</v>
      </c>
    </row>
    <row r="132" spans="1:1">
      <c r="A132" s="4">
        <v>220000</v>
      </c>
    </row>
    <row r="133" spans="1:1">
      <c r="A133" s="4">
        <v>145800</v>
      </c>
    </row>
    <row r="134" spans="1:1">
      <c r="A134" s="4">
        <v>162000</v>
      </c>
    </row>
    <row r="135" spans="1:1">
      <c r="A135" s="4">
        <v>205200</v>
      </c>
    </row>
    <row r="136" spans="1:1">
      <c r="A136" s="4">
        <v>108000</v>
      </c>
    </row>
    <row r="137" spans="1:1">
      <c r="A137" s="4">
        <v>1100000</v>
      </c>
    </row>
    <row r="138" spans="1:1">
      <c r="A138" s="4">
        <v>450000</v>
      </c>
    </row>
    <row r="139" spans="1:1">
      <c r="A139" s="4">
        <v>198000</v>
      </c>
    </row>
    <row r="140" spans="1:1">
      <c r="A140" s="4">
        <v>10800</v>
      </c>
    </row>
    <row r="141" spans="1:1">
      <c r="A141" s="4">
        <v>64000</v>
      </c>
    </row>
    <row r="142" spans="1:1">
      <c r="A142" s="4">
        <v>1020000</v>
      </c>
    </row>
    <row r="143" spans="1:1">
      <c r="A143" s="4">
        <v>120000</v>
      </c>
    </row>
    <row r="144" spans="1:1">
      <c r="A144" s="4">
        <v>456000</v>
      </c>
    </row>
    <row r="145" spans="1:1">
      <c r="A145" s="4">
        <v>408000</v>
      </c>
    </row>
    <row r="146" spans="1:1">
      <c r="A146" s="4">
        <v>168300</v>
      </c>
    </row>
    <row r="147" spans="1:1">
      <c r="A147" s="4">
        <v>108000</v>
      </c>
    </row>
    <row r="148" spans="1:1">
      <c r="A148" s="4">
        <v>888250</v>
      </c>
    </row>
    <row r="149" spans="1:1">
      <c r="A149" s="4">
        <v>24000</v>
      </c>
    </row>
    <row r="150" spans="1:1">
      <c r="A150" s="4">
        <v>540000</v>
      </c>
    </row>
    <row r="151" spans="1:1">
      <c r="A151" s="4">
        <v>867000</v>
      </c>
    </row>
    <row r="152" spans="1:1">
      <c r="A152" s="4">
        <v>660000</v>
      </c>
    </row>
    <row r="153" spans="1:1">
      <c r="A153" s="4">
        <v>198000</v>
      </c>
    </row>
    <row r="154" spans="1:1">
      <c r="A154" s="4">
        <v>160000</v>
      </c>
    </row>
    <row r="155" spans="1:1">
      <c r="A155" s="4">
        <v>405000</v>
      </c>
    </row>
    <row r="156" spans="1:1">
      <c r="A156" s="4">
        <v>160000</v>
      </c>
    </row>
    <row r="157" spans="1:1">
      <c r="A157" s="4">
        <v>361250</v>
      </c>
    </row>
    <row r="158" spans="1:1">
      <c r="A158" s="4">
        <v>306000</v>
      </c>
    </row>
    <row r="159" spans="1:1">
      <c r="A159" s="4">
        <v>299250</v>
      </c>
    </row>
    <row r="160" spans="1:1">
      <c r="A160" s="4">
        <v>1020000</v>
      </c>
    </row>
    <row r="161" spans="1:1">
      <c r="A161" s="4">
        <v>242250</v>
      </c>
    </row>
    <row r="162" spans="1:1">
      <c r="A162" s="4">
        <v>54000</v>
      </c>
    </row>
    <row r="163" spans="1:1">
      <c r="A163" s="4">
        <v>213750</v>
      </c>
    </row>
    <row r="164" spans="1:1">
      <c r="A164" s="4">
        <v>191250</v>
      </c>
    </row>
    <row r="165" spans="1:1">
      <c r="A165" s="4">
        <v>153000</v>
      </c>
    </row>
    <row r="166" spans="1:1">
      <c r="A166" s="4">
        <v>96000</v>
      </c>
    </row>
    <row r="167" spans="1:1">
      <c r="A167" s="4">
        <v>540000</v>
      </c>
    </row>
    <row r="168" spans="1:1">
      <c r="A168" s="4">
        <v>43200</v>
      </c>
    </row>
    <row r="169" spans="1:1">
      <c r="A169" s="4">
        <v>731500</v>
      </c>
    </row>
    <row r="170" spans="1:1">
      <c r="A170" s="4">
        <v>108000</v>
      </c>
    </row>
    <row r="171" spans="1:1">
      <c r="A171" s="4">
        <v>399000</v>
      </c>
    </row>
    <row r="172" spans="1:1">
      <c r="A172" s="4">
        <v>198000</v>
      </c>
    </row>
    <row r="173" spans="1:1">
      <c r="A173" s="4">
        <v>459000</v>
      </c>
    </row>
    <row r="174" spans="1:1">
      <c r="A174" s="4">
        <v>399000</v>
      </c>
    </row>
    <row r="175" spans="1:1">
      <c r="A175" s="4">
        <v>594000</v>
      </c>
    </row>
    <row r="176" spans="1:1">
      <c r="A176" s="4">
        <v>259200</v>
      </c>
    </row>
    <row r="177" spans="1:1">
      <c r="A177" s="4">
        <v>51000</v>
      </c>
    </row>
    <row r="178" spans="1:1">
      <c r="A178" s="4">
        <v>48600</v>
      </c>
    </row>
    <row r="179" spans="1:1">
      <c r="A179" s="4">
        <v>162000</v>
      </c>
    </row>
    <row r="180" spans="1:1">
      <c r="A180" s="4">
        <v>202500</v>
      </c>
    </row>
    <row r="181" spans="1:1">
      <c r="A181" s="4">
        <v>880000</v>
      </c>
    </row>
    <row r="182" spans="1:1">
      <c r="A182" s="4">
        <v>456000</v>
      </c>
    </row>
    <row r="183" spans="1:1">
      <c r="A183" s="4">
        <v>97200</v>
      </c>
    </row>
    <row r="184" spans="1:1">
      <c r="A184" s="4">
        <v>79800</v>
      </c>
    </row>
    <row r="185" spans="1:1">
      <c r="A185" s="4">
        <v>171000</v>
      </c>
    </row>
    <row r="186" spans="1:1">
      <c r="A186" s="4">
        <v>220000</v>
      </c>
    </row>
    <row r="187" spans="1:1">
      <c r="A187" s="4">
        <v>48600</v>
      </c>
    </row>
    <row r="188" spans="1:1">
      <c r="A188" s="4">
        <v>459000</v>
      </c>
    </row>
    <row r="189" spans="1:1">
      <c r="A189" s="4">
        <v>220000</v>
      </c>
    </row>
    <row r="190" spans="1:1">
      <c r="A190" s="4">
        <v>270000</v>
      </c>
    </row>
    <row r="191" spans="1:1">
      <c r="A191" s="4">
        <v>168000</v>
      </c>
    </row>
    <row r="192" spans="1:1">
      <c r="A192" s="4">
        <v>120000</v>
      </c>
    </row>
    <row r="193" spans="1:1">
      <c r="A193" s="4">
        <v>273600</v>
      </c>
    </row>
    <row r="194" spans="1:1">
      <c r="A194" s="4">
        <v>144000</v>
      </c>
    </row>
    <row r="195" spans="1:1">
      <c r="A195" s="4">
        <v>40500</v>
      </c>
    </row>
    <row r="196" spans="1:1">
      <c r="A196" s="4">
        <v>64800</v>
      </c>
    </row>
    <row r="197" spans="1:1">
      <c r="A197" s="4">
        <v>510000</v>
      </c>
    </row>
    <row r="198" spans="1:1">
      <c r="A198" s="4">
        <v>128000</v>
      </c>
    </row>
    <row r="199" spans="1:1">
      <c r="A199" s="4">
        <v>72000</v>
      </c>
    </row>
    <row r="200" spans="1:1">
      <c r="A200" s="4">
        <v>40800</v>
      </c>
    </row>
    <row r="201" spans="1:1">
      <c r="A201" s="4">
        <v>495000</v>
      </c>
    </row>
    <row r="202" spans="1:1">
      <c r="A202" s="4">
        <v>288000</v>
      </c>
    </row>
    <row r="203" spans="1:1">
      <c r="A203" s="4">
        <v>81000</v>
      </c>
    </row>
    <row r="204" spans="1:1">
      <c r="A204" s="4">
        <v>850000</v>
      </c>
    </row>
    <row r="205" spans="1:1">
      <c r="A205" s="4">
        <v>456000</v>
      </c>
    </row>
    <row r="206" spans="1:1">
      <c r="A206" s="4">
        <v>918000</v>
      </c>
    </row>
    <row r="207" spans="1:1">
      <c r="A207" s="4">
        <v>748000</v>
      </c>
    </row>
    <row r="208" spans="1:1">
      <c r="A208" s="4">
        <v>660000</v>
      </c>
    </row>
    <row r="209" spans="1:1">
      <c r="A209" s="4">
        <v>162000</v>
      </c>
    </row>
    <row r="210" spans="1:1">
      <c r="A210" s="4">
        <v>550000</v>
      </c>
    </row>
    <row r="211" spans="1:1">
      <c r="A211" s="4">
        <v>240000</v>
      </c>
    </row>
    <row r="212" spans="1:1">
      <c r="A212" s="4">
        <v>32400</v>
      </c>
    </row>
    <row r="213" spans="1:1">
      <c r="A213" s="4">
        <v>192000</v>
      </c>
    </row>
    <row r="214" spans="1:1">
      <c r="A214" s="4">
        <v>540000</v>
      </c>
    </row>
    <row r="215" spans="1:1">
      <c r="A215" s="4">
        <v>220000</v>
      </c>
    </row>
    <row r="216" spans="1:1">
      <c r="A216" s="4">
        <v>680000</v>
      </c>
    </row>
    <row r="217" spans="1:1">
      <c r="A217" s="4">
        <v>54000</v>
      </c>
    </row>
    <row r="218" spans="1:1">
      <c r="A218" s="4">
        <v>216000</v>
      </c>
    </row>
    <row r="219" spans="1:1">
      <c r="A219" s="4">
        <v>48600</v>
      </c>
    </row>
    <row r="220" spans="1:1">
      <c r="A220" s="4">
        <v>90000</v>
      </c>
    </row>
    <row r="221" spans="1:1">
      <c r="A221" s="4">
        <v>940500</v>
      </c>
    </row>
    <row r="222" spans="1:1">
      <c r="A222" s="4">
        <v>84000</v>
      </c>
    </row>
    <row r="223" spans="1:1">
      <c r="A223" s="4">
        <v>627000</v>
      </c>
    </row>
    <row r="224" spans="1:1">
      <c r="A224" s="4">
        <v>48000</v>
      </c>
    </row>
    <row r="225" spans="1:1">
      <c r="A225" s="4">
        <v>190400</v>
      </c>
    </row>
    <row r="226" spans="1:1">
      <c r="A226" s="4">
        <v>152000</v>
      </c>
    </row>
    <row r="227" spans="1:1">
      <c r="A227" s="4">
        <v>495000</v>
      </c>
    </row>
    <row r="228" spans="1:1">
      <c r="A228" s="4">
        <v>316800</v>
      </c>
    </row>
    <row r="229" spans="1:1">
      <c r="A229" s="4">
        <v>194400</v>
      </c>
    </row>
    <row r="230" spans="1:1">
      <c r="A230" s="4">
        <v>34200</v>
      </c>
    </row>
    <row r="231" spans="1:1">
      <c r="A231" s="4">
        <v>595000</v>
      </c>
    </row>
    <row r="232" spans="1:1">
      <c r="A232" s="4">
        <v>242250</v>
      </c>
    </row>
    <row r="233" spans="1:1">
      <c r="A233" s="4">
        <v>229500</v>
      </c>
    </row>
    <row r="234" spans="1:1">
      <c r="A234" s="4">
        <v>240000</v>
      </c>
    </row>
    <row r="235" spans="1:1">
      <c r="A235" s="4">
        <v>168000</v>
      </c>
    </row>
    <row r="236" spans="1:1">
      <c r="A236" s="4">
        <v>408000</v>
      </c>
    </row>
    <row r="237" spans="1:1">
      <c r="A237" s="4">
        <v>102000</v>
      </c>
    </row>
    <row r="238" spans="1:1">
      <c r="A238" s="4">
        <v>807500</v>
      </c>
    </row>
    <row r="239" spans="1:1">
      <c r="A239" s="4">
        <v>32400</v>
      </c>
    </row>
    <row r="240" spans="1:1">
      <c r="A240" s="4">
        <v>21600</v>
      </c>
    </row>
    <row r="241" spans="1:1">
      <c r="A241" s="4">
        <v>272000</v>
      </c>
    </row>
    <row r="242" spans="1:1">
      <c r="A242" s="4">
        <v>345600</v>
      </c>
    </row>
    <row r="243" spans="1:1">
      <c r="A243" s="4">
        <v>1254000</v>
      </c>
    </row>
    <row r="244" spans="1:1">
      <c r="A244" s="4">
        <v>765000</v>
      </c>
    </row>
    <row r="245" spans="1:1">
      <c r="A245" s="4">
        <v>306000</v>
      </c>
    </row>
    <row r="246" spans="1:1">
      <c r="A246" s="4">
        <v>136800</v>
      </c>
    </row>
    <row r="247" spans="1:1">
      <c r="A247" s="4">
        <v>850000</v>
      </c>
    </row>
    <row r="248" spans="1:1">
      <c r="A248" s="4">
        <v>405000</v>
      </c>
    </row>
    <row r="249" spans="1:1">
      <c r="A249" s="4">
        <v>480000</v>
      </c>
    </row>
    <row r="250" spans="1:1">
      <c r="A250" s="4">
        <v>194400</v>
      </c>
    </row>
    <row r="251" spans="1:1">
      <c r="A251" s="4">
        <v>128250</v>
      </c>
    </row>
    <row r="252" spans="1:1">
      <c r="A252" s="4">
        <v>420000</v>
      </c>
    </row>
    <row r="253" spans="1:1">
      <c r="A253" s="4">
        <v>510000</v>
      </c>
    </row>
    <row r="254" spans="1:1">
      <c r="A254" s="4">
        <v>182400</v>
      </c>
    </row>
    <row r="255" spans="1:1">
      <c r="A255" s="4">
        <v>272000</v>
      </c>
    </row>
    <row r="256" spans="1:1">
      <c r="A256" s="4">
        <v>72250</v>
      </c>
    </row>
    <row r="257" spans="1:1">
      <c r="A257" s="4">
        <v>84000</v>
      </c>
    </row>
    <row r="258" spans="1:1">
      <c r="A258" s="4">
        <v>192000</v>
      </c>
    </row>
    <row r="259" spans="1:1">
      <c r="A259" s="4">
        <v>420000</v>
      </c>
    </row>
    <row r="260" spans="1:1">
      <c r="A260" s="4">
        <v>425000</v>
      </c>
    </row>
    <row r="261" spans="1:1">
      <c r="A261" s="4">
        <v>120000</v>
      </c>
    </row>
    <row r="262" spans="1:1">
      <c r="A262" s="4">
        <v>495000</v>
      </c>
    </row>
    <row r="263" spans="1:1">
      <c r="A263" s="4">
        <v>182400</v>
      </c>
    </row>
    <row r="264" spans="1:1">
      <c r="A264" s="4">
        <v>61200</v>
      </c>
    </row>
    <row r="265" spans="1:1">
      <c r="A265" s="4">
        <v>288000</v>
      </c>
    </row>
    <row r="266" spans="1:1">
      <c r="A266" s="4">
        <v>595000</v>
      </c>
    </row>
    <row r="267" spans="1:1">
      <c r="A267" s="4">
        <v>990000</v>
      </c>
    </row>
    <row r="268" spans="1:1">
      <c r="A268" s="4">
        <v>660000</v>
      </c>
    </row>
    <row r="269" spans="1:1">
      <c r="A269" s="4">
        <v>364800</v>
      </c>
    </row>
    <row r="270" spans="1:1">
      <c r="A270" s="4">
        <v>12000</v>
      </c>
    </row>
    <row r="271" spans="1:1">
      <c r="A271" s="4">
        <v>935000</v>
      </c>
    </row>
    <row r="272" spans="1:1">
      <c r="A272" s="4">
        <v>228000</v>
      </c>
    </row>
    <row r="273" spans="1:1">
      <c r="A273" s="4">
        <v>259200</v>
      </c>
    </row>
    <row r="274" spans="1:1">
      <c r="A274" s="4">
        <v>561000</v>
      </c>
    </row>
    <row r="275" spans="1:1">
      <c r="A275" s="4">
        <v>64800</v>
      </c>
    </row>
    <row r="276" spans="1:1">
      <c r="A276" s="4">
        <v>748000</v>
      </c>
    </row>
    <row r="277" spans="1:1">
      <c r="A277" s="4">
        <v>306000</v>
      </c>
    </row>
    <row r="278" spans="1:1">
      <c r="A278" s="4">
        <v>264000</v>
      </c>
    </row>
    <row r="279" spans="1:1">
      <c r="A279" s="4">
        <v>216000</v>
      </c>
    </row>
    <row r="280" spans="1:1">
      <c r="A280" s="4">
        <v>1254000</v>
      </c>
    </row>
    <row r="281" spans="1:1">
      <c r="A281" s="4">
        <v>60000</v>
      </c>
    </row>
    <row r="282" spans="1:1">
      <c r="A282" s="4">
        <v>205200</v>
      </c>
    </row>
    <row r="283" spans="1:1">
      <c r="A283" s="4">
        <v>102000</v>
      </c>
    </row>
    <row r="284" spans="1:1">
      <c r="A284" s="4">
        <v>34200</v>
      </c>
    </row>
    <row r="285" spans="1:1">
      <c r="A285" s="4">
        <v>1045000</v>
      </c>
    </row>
    <row r="286" spans="1:1">
      <c r="A286" s="4">
        <v>660000</v>
      </c>
    </row>
    <row r="287" spans="1:1">
      <c r="A287" s="4">
        <v>57000</v>
      </c>
    </row>
    <row r="288" spans="1:1">
      <c r="A288" s="4">
        <v>30600</v>
      </c>
    </row>
    <row r="289" spans="1:1">
      <c r="A289" s="4">
        <v>205200</v>
      </c>
    </row>
    <row r="290" spans="1:1">
      <c r="A290" s="4">
        <v>91800</v>
      </c>
    </row>
    <row r="291" spans="1:1">
      <c r="A291" s="4">
        <v>1045000</v>
      </c>
    </row>
    <row r="292" spans="1:1">
      <c r="A292" s="4">
        <v>162000</v>
      </c>
    </row>
    <row r="293" spans="1:1">
      <c r="A293" s="4">
        <v>18000</v>
      </c>
    </row>
    <row r="294" spans="1:1">
      <c r="A294" s="4">
        <v>32400</v>
      </c>
    </row>
    <row r="295" spans="1:1">
      <c r="A295" s="4">
        <v>188100</v>
      </c>
    </row>
    <row r="296" spans="1:1">
      <c r="A296" s="4">
        <v>144500</v>
      </c>
    </row>
    <row r="297" spans="1:1">
      <c r="A297" s="4">
        <v>204000</v>
      </c>
    </row>
    <row r="298" spans="1:1">
      <c r="A298" s="4">
        <v>561000</v>
      </c>
    </row>
    <row r="299" spans="1:1">
      <c r="A299" s="4">
        <v>160000</v>
      </c>
    </row>
    <row r="300" spans="1:1">
      <c r="A300" s="4">
        <v>119700</v>
      </c>
    </row>
    <row r="301" spans="1:1">
      <c r="A301" s="4">
        <v>72000</v>
      </c>
    </row>
    <row r="302" spans="1:1">
      <c r="A302" s="4">
        <v>120000</v>
      </c>
    </row>
    <row r="303" spans="1:1">
      <c r="A303" s="4">
        <v>470250</v>
      </c>
    </row>
    <row r="304" spans="1:1">
      <c r="A304" s="4">
        <v>38250</v>
      </c>
    </row>
    <row r="305" spans="1:1">
      <c r="A305" s="4">
        <v>21600</v>
      </c>
    </row>
    <row r="306" spans="1:1">
      <c r="A306" s="4">
        <v>595000</v>
      </c>
    </row>
    <row r="307" spans="1:1">
      <c r="A307" s="4">
        <v>170000</v>
      </c>
    </row>
    <row r="308" spans="1:1">
      <c r="A308" s="4">
        <v>216000</v>
      </c>
    </row>
    <row r="309" spans="1:1">
      <c r="A309" s="4">
        <v>342000</v>
      </c>
    </row>
    <row r="310" spans="1:1">
      <c r="A310" s="4">
        <v>85500</v>
      </c>
    </row>
    <row r="311" spans="1:1">
      <c r="A311" s="4">
        <v>172800</v>
      </c>
    </row>
    <row r="312" spans="1:1">
      <c r="A312" s="4">
        <v>244800</v>
      </c>
    </row>
    <row r="313" spans="1:1">
      <c r="A313" s="4">
        <v>660000</v>
      </c>
    </row>
    <row r="314" spans="1:1">
      <c r="A314" s="4">
        <v>85000</v>
      </c>
    </row>
    <row r="315" spans="1:1">
      <c r="A315" s="4">
        <v>216000</v>
      </c>
    </row>
    <row r="316" spans="1:1">
      <c r="A316" s="4">
        <v>384000</v>
      </c>
    </row>
    <row r="317" spans="1:1">
      <c r="A317" s="4">
        <v>84000</v>
      </c>
    </row>
    <row r="318" spans="1:1">
      <c r="A318" s="4">
        <v>144000</v>
      </c>
    </row>
    <row r="319" spans="1:1">
      <c r="A319" s="4">
        <v>114750</v>
      </c>
    </row>
    <row r="320" spans="1:1">
      <c r="A320" s="4">
        <v>102000</v>
      </c>
    </row>
    <row r="321" spans="1:1">
      <c r="A321" s="4">
        <v>216000</v>
      </c>
    </row>
    <row r="322" spans="1:1">
      <c r="A322" s="4">
        <v>120000</v>
      </c>
    </row>
    <row r="323" spans="1:1">
      <c r="A323" s="4">
        <v>212800</v>
      </c>
    </row>
    <row r="324" spans="1:1">
      <c r="A324" s="4">
        <v>456000</v>
      </c>
    </row>
    <row r="325" spans="1:1">
      <c r="A325" s="4">
        <v>486000</v>
      </c>
    </row>
    <row r="326" spans="1:1">
      <c r="A326" s="4">
        <v>1122000</v>
      </c>
    </row>
    <row r="327" spans="1:1">
      <c r="A327" s="4">
        <v>650250</v>
      </c>
    </row>
    <row r="328" spans="1:1">
      <c r="A328" s="4">
        <v>96000</v>
      </c>
    </row>
    <row r="329" spans="1:1">
      <c r="A329" s="4">
        <v>216750</v>
      </c>
    </row>
    <row r="330" spans="1:1">
      <c r="A330" s="4">
        <v>172800</v>
      </c>
    </row>
    <row r="331" spans="1:1">
      <c r="A331" s="4">
        <v>144000</v>
      </c>
    </row>
    <row r="332" spans="1:1">
      <c r="A332" s="4">
        <v>57000</v>
      </c>
    </row>
    <row r="333" spans="1:1">
      <c r="A333" s="4">
        <v>224400</v>
      </c>
    </row>
    <row r="334" spans="1:1">
      <c r="A334" s="4">
        <v>550000</v>
      </c>
    </row>
    <row r="335" spans="1:1">
      <c r="A335" s="4">
        <v>108000</v>
      </c>
    </row>
    <row r="336" spans="1:1">
      <c r="A336" s="4">
        <v>726750</v>
      </c>
    </row>
    <row r="337" spans="1:1">
      <c r="A337" s="4">
        <v>561000</v>
      </c>
    </row>
    <row r="338" spans="1:1">
      <c r="A338" s="4">
        <v>119700</v>
      </c>
    </row>
    <row r="339" spans="1:1">
      <c r="A339" s="4">
        <v>198000</v>
      </c>
    </row>
    <row r="340" spans="1:1">
      <c r="A340" s="4">
        <v>522500</v>
      </c>
    </row>
    <row r="341" spans="1:1">
      <c r="A341" s="4">
        <v>595000</v>
      </c>
    </row>
    <row r="342" spans="1:1">
      <c r="A342" s="4">
        <v>688500</v>
      </c>
    </row>
    <row r="343" spans="1:1">
      <c r="A343" s="4">
        <v>96000</v>
      </c>
    </row>
    <row r="344" spans="1:1">
      <c r="A344" s="4">
        <v>250800</v>
      </c>
    </row>
    <row r="345" spans="1:1">
      <c r="A345" s="4">
        <v>374000</v>
      </c>
    </row>
    <row r="346" spans="1:1">
      <c r="A346" s="4">
        <v>648000</v>
      </c>
    </row>
    <row r="347" spans="1:1">
      <c r="A347" s="4">
        <v>1020000</v>
      </c>
    </row>
    <row r="348" spans="1:1">
      <c r="A348" s="4">
        <v>144000</v>
      </c>
    </row>
    <row r="349" spans="1:1">
      <c r="A349" s="4">
        <v>505750</v>
      </c>
    </row>
    <row r="350" spans="1:1">
      <c r="A350" s="4">
        <v>510000</v>
      </c>
    </row>
    <row r="351" spans="1:1">
      <c r="A351" s="4">
        <v>91800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55BF-A220-40D4-9D83-E2A0241EF977}">
  <sheetPr>
    <outlinePr summaryBelow="0"/>
  </sheetPr>
  <dimension ref="B1:G11"/>
  <sheetViews>
    <sheetView showGridLines="0" workbookViewId="0"/>
  </sheetViews>
  <sheetFormatPr baseColWidth="10" defaultRowHeight="15" outlineLevelRow="1" outlineLevelCol="1"/>
  <cols>
    <col min="3" max="3" width="6.140625" bestFit="1" customWidth="1"/>
    <col min="4" max="7" width="14.5703125" bestFit="1" customWidth="1" outlineLevel="1"/>
  </cols>
  <sheetData>
    <row r="1" spans="2:7" ht="15.75" thickBot="1"/>
    <row r="2" spans="2:7" ht="15.75">
      <c r="B2" s="13" t="s">
        <v>29</v>
      </c>
      <c r="C2" s="13"/>
      <c r="D2" s="17"/>
      <c r="E2" s="17"/>
      <c r="F2" s="17"/>
      <c r="G2" s="17"/>
    </row>
    <row r="3" spans="2:7" ht="15.75" collapsed="1">
      <c r="B3" s="12"/>
      <c r="C3" s="12"/>
      <c r="D3" s="18" t="s">
        <v>31</v>
      </c>
      <c r="E3" s="18" t="s">
        <v>25</v>
      </c>
      <c r="F3" s="18" t="s">
        <v>27</v>
      </c>
      <c r="G3" s="18" t="s">
        <v>28</v>
      </c>
    </row>
    <row r="4" spans="2:7" ht="22.5" hidden="1" outlineLevel="1">
      <c r="B4" s="14"/>
      <c r="C4" s="14"/>
      <c r="D4" s="5"/>
      <c r="E4" s="20" t="s">
        <v>26</v>
      </c>
      <c r="F4" s="20" t="s">
        <v>26</v>
      </c>
      <c r="G4" s="20" t="s">
        <v>26</v>
      </c>
    </row>
    <row r="5" spans="2:7">
      <c r="B5" s="15" t="s">
        <v>30</v>
      </c>
      <c r="C5" s="15"/>
      <c r="D5" s="7"/>
      <c r="E5" s="7"/>
      <c r="F5" s="7"/>
      <c r="G5" s="7"/>
    </row>
    <row r="6" spans="2:7" outlineLevel="1">
      <c r="B6" s="14"/>
      <c r="C6" s="14" t="s">
        <v>23</v>
      </c>
      <c r="D6" s="11">
        <v>0.65</v>
      </c>
      <c r="E6" s="19">
        <v>0.75</v>
      </c>
      <c r="F6" s="19">
        <v>0.65</v>
      </c>
      <c r="G6" s="19">
        <v>0.55000000000000004</v>
      </c>
    </row>
    <row r="7" spans="2:7">
      <c r="B7" s="15" t="s">
        <v>32</v>
      </c>
      <c r="C7" s="15"/>
      <c r="D7" s="7"/>
      <c r="E7" s="7"/>
      <c r="F7" s="7"/>
      <c r="G7" s="7"/>
    </row>
    <row r="8" spans="2:7" ht="15.75" outlineLevel="1" thickBot="1">
      <c r="B8" s="16"/>
      <c r="C8" s="16" t="s">
        <v>24</v>
      </c>
      <c r="D8" s="6">
        <v>500000</v>
      </c>
      <c r="E8" s="6">
        <v>322857.14285714302</v>
      </c>
      <c r="F8" s="6">
        <v>500000</v>
      </c>
      <c r="G8" s="6">
        <v>677142.85714285704</v>
      </c>
    </row>
    <row r="9" spans="2:7">
      <c r="B9" t="s">
        <v>33</v>
      </c>
    </row>
    <row r="10" spans="2:7">
      <c r="B10" t="s">
        <v>34</v>
      </c>
    </row>
    <row r="11" spans="2:7">
      <c r="B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836-515E-4C87-98BD-09FD18C0BD76}">
  <dimension ref="A1:B11"/>
  <sheetViews>
    <sheetView workbookViewId="0">
      <selection activeCell="E27" sqref="E27"/>
    </sheetView>
  </sheetViews>
  <sheetFormatPr baseColWidth="10" defaultRowHeight="15"/>
  <cols>
    <col min="1" max="1" width="24.140625" bestFit="1" customWidth="1"/>
  </cols>
  <sheetData>
    <row r="1" spans="1:2">
      <c r="A1" s="3" t="s">
        <v>14</v>
      </c>
    </row>
    <row r="3" spans="1:2">
      <c r="A3" s="9" t="s">
        <v>15</v>
      </c>
      <c r="B3" s="2">
        <v>1000</v>
      </c>
    </row>
    <row r="4" spans="1:2">
      <c r="A4" s="9" t="s">
        <v>16</v>
      </c>
      <c r="B4" s="2">
        <v>1771.4285714285713</v>
      </c>
    </row>
    <row r="5" spans="1:2">
      <c r="A5" s="9" t="s">
        <v>17</v>
      </c>
      <c r="B5" s="10">
        <v>0.65</v>
      </c>
    </row>
    <row r="6" spans="1:2">
      <c r="A6" s="9" t="s">
        <v>18</v>
      </c>
      <c r="B6" s="2">
        <v>120000</v>
      </c>
    </row>
    <row r="8" spans="1:2">
      <c r="A8" s="9" t="s">
        <v>19</v>
      </c>
      <c r="B8" s="2">
        <f>B3*B4</f>
        <v>1771428.5714285714</v>
      </c>
    </row>
    <row r="9" spans="1:2">
      <c r="A9" s="9" t="s">
        <v>20</v>
      </c>
      <c r="B9" s="2">
        <f>B8*B5</f>
        <v>1151428.5714285714</v>
      </c>
    </row>
    <row r="10" spans="1:2">
      <c r="A10" s="9" t="s">
        <v>21</v>
      </c>
      <c r="B10" s="2">
        <f>B9+B6</f>
        <v>1271428.5714285714</v>
      </c>
    </row>
    <row r="11" spans="1:2">
      <c r="A11" s="9" t="s">
        <v>22</v>
      </c>
      <c r="B11" s="2">
        <f>B8-B10</f>
        <v>500000</v>
      </c>
    </row>
  </sheetData>
  <scenarios current="0" sqref="B11">
    <scenario name="Pesimista" locked="1" count="1" user="Pc" comment="Creado por Pc el 19/10/2026">
      <inputCells r="B5" val="0,75" numFmtId="9"/>
    </scenario>
    <scenario name="Base" locked="1" count="1" user="Pc" comment="Creado por Pc el 19/10/2026">
      <inputCells r="B5" val="0,65" numFmtId="9"/>
    </scenario>
    <scenario name="Optimista" locked="1" count="1" user="Pc" comment="Creado por Pc el 19/10/2026">
      <inputCells r="B5" val="0,55" numFmtId="9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B3AE-33F9-407C-97EE-56DD999464F2}">
  <dimension ref="B1:Q13"/>
  <sheetViews>
    <sheetView showGridLines="0" tabSelected="1" topLeftCell="A7" workbookViewId="0">
      <selection activeCell="H31" sqref="H31"/>
    </sheetView>
  </sheetViews>
  <sheetFormatPr baseColWidth="10" defaultRowHeight="15"/>
  <sheetData>
    <row r="1" spans="2:17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2:17" ht="26.25">
      <c r="B2" s="33" t="s">
        <v>1054</v>
      </c>
      <c r="C2" s="33"/>
      <c r="D2" s="33"/>
      <c r="E2" s="33"/>
      <c r="F2" s="33"/>
      <c r="G2" s="33"/>
      <c r="H2" s="33"/>
      <c r="I2" s="33"/>
      <c r="J2" s="33"/>
    </row>
    <row r="6" spans="2:17" ht="26.25" customHeight="1">
      <c r="B6" s="41" t="s">
        <v>1055</v>
      </c>
      <c r="C6" s="41"/>
      <c r="D6" s="41"/>
      <c r="E6" s="41"/>
      <c r="F6" s="42" t="s">
        <v>1057</v>
      </c>
      <c r="G6" s="42"/>
      <c r="H6" s="42"/>
      <c r="I6" s="42"/>
      <c r="J6" s="35" t="s">
        <v>1060</v>
      </c>
      <c r="K6" s="35"/>
      <c r="L6" s="35"/>
      <c r="M6" s="35"/>
      <c r="N6" s="39" t="s">
        <v>1062</v>
      </c>
      <c r="O6" s="39"/>
      <c r="P6" s="39"/>
      <c r="Q6" s="39"/>
    </row>
    <row r="7" spans="2:17" ht="26.25" customHeight="1">
      <c r="B7" s="41"/>
      <c r="C7" s="41"/>
      <c r="D7" s="41"/>
      <c r="E7" s="41"/>
      <c r="F7" s="40"/>
      <c r="G7" s="40"/>
      <c r="H7" s="40"/>
      <c r="I7" s="40"/>
      <c r="J7" s="41"/>
      <c r="K7" s="41"/>
      <c r="L7" s="41"/>
      <c r="M7" s="41"/>
    </row>
    <row r="8" spans="2:17" ht="26.25" customHeight="1">
      <c r="B8" s="41"/>
      <c r="C8" s="41"/>
      <c r="D8" s="41"/>
      <c r="E8" s="41"/>
      <c r="F8" s="40"/>
      <c r="G8" s="40"/>
      <c r="H8" s="40"/>
      <c r="I8" s="40"/>
      <c r="K8" s="48">
        <f>Soporte_Dashboard!F2</f>
        <v>0.28294931834534048</v>
      </c>
      <c r="L8" s="48"/>
      <c r="N8" s="49">
        <f>Soporte_Dashboard!C2</f>
        <v>350</v>
      </c>
      <c r="O8" s="49"/>
      <c r="P8" s="49"/>
    </row>
    <row r="9" spans="2:17" ht="26.25" customHeight="1">
      <c r="B9" s="44">
        <f>Soporte_Dashboard!A2</f>
        <v>109589950</v>
      </c>
      <c r="C9" s="44"/>
      <c r="D9" s="44"/>
      <c r="E9" s="32"/>
      <c r="F9" s="46">
        <f>Soporte_Dashboard!B2</f>
        <v>31008401.649999946</v>
      </c>
      <c r="G9" s="46"/>
      <c r="H9" s="46"/>
      <c r="I9" s="46"/>
      <c r="J9" s="47"/>
      <c r="K9" s="48"/>
      <c r="L9" s="48"/>
      <c r="M9" s="47"/>
    </row>
    <row r="10" spans="2:17" ht="15" customHeight="1">
      <c r="B10" s="43"/>
      <c r="C10" s="43"/>
      <c r="D10" s="43"/>
      <c r="E10" s="43"/>
      <c r="F10" s="45"/>
      <c r="G10" s="45"/>
      <c r="H10" s="45"/>
      <c r="I10" s="45"/>
      <c r="J10" s="47"/>
      <c r="K10" s="47"/>
      <c r="L10" s="47"/>
      <c r="M10" s="47"/>
    </row>
    <row r="11" spans="2:17" ht="15" customHeight="1">
      <c r="B11" s="43"/>
      <c r="C11" s="43"/>
      <c r="D11" s="43"/>
      <c r="E11" s="43"/>
      <c r="F11" s="45"/>
      <c r="G11" s="45"/>
      <c r="H11" s="45"/>
      <c r="I11" s="45"/>
      <c r="J11" s="47"/>
      <c r="K11" s="47"/>
      <c r="L11" s="47"/>
      <c r="M11" s="47"/>
    </row>
    <row r="12" spans="2:17" ht="15" customHeight="1">
      <c r="B12" s="43"/>
      <c r="C12" s="43"/>
      <c r="D12" s="43"/>
      <c r="E12" s="43"/>
      <c r="F12" s="45"/>
      <c r="G12" s="45"/>
      <c r="H12" s="45"/>
      <c r="I12" s="45"/>
      <c r="J12" s="47"/>
      <c r="K12" s="47"/>
      <c r="L12" s="47"/>
      <c r="M12" s="47"/>
    </row>
    <row r="13" spans="2:17" ht="15" customHeight="1">
      <c r="B13" s="43"/>
      <c r="C13" s="43"/>
      <c r="D13" s="43"/>
      <c r="E13" s="43"/>
      <c r="F13" s="45"/>
      <c r="G13" s="45"/>
      <c r="H13" s="45"/>
      <c r="I13" s="45"/>
    </row>
  </sheetData>
  <mergeCells count="9">
    <mergeCell ref="N8:P8"/>
    <mergeCell ref="N6:Q6"/>
    <mergeCell ref="J6:M6"/>
    <mergeCell ref="F6:I6"/>
    <mergeCell ref="B9:D9"/>
    <mergeCell ref="F9:I9"/>
    <mergeCell ref="K8:L9"/>
    <mergeCell ref="B1:Q1"/>
    <mergeCell ref="B2:J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C68-3440-4ACD-A425-878BA9FDF008}">
  <dimension ref="A1:I19"/>
  <sheetViews>
    <sheetView workbookViewId="0">
      <selection activeCell="H14" sqref="H14"/>
    </sheetView>
  </sheetViews>
  <sheetFormatPr baseColWidth="10" defaultRowHeight="15"/>
  <cols>
    <col min="1" max="1" width="17.5703125" bestFit="1" customWidth="1"/>
    <col min="2" max="2" width="12.5703125" bestFit="1" customWidth="1"/>
    <col min="3" max="3" width="15" bestFit="1" customWidth="1"/>
    <col min="5" max="5" width="17.5703125" bestFit="1" customWidth="1"/>
    <col min="6" max="6" width="12.5703125" bestFit="1" customWidth="1"/>
    <col min="8" max="8" width="12.5703125" bestFit="1" customWidth="1"/>
    <col min="9" max="9" width="13.28515625" bestFit="1" customWidth="1"/>
  </cols>
  <sheetData>
    <row r="1" spans="1:9">
      <c r="A1" t="s">
        <v>1056</v>
      </c>
      <c r="B1" t="s">
        <v>1058</v>
      </c>
      <c r="C1" t="s">
        <v>1061</v>
      </c>
      <c r="F1" s="2" t="s">
        <v>1059</v>
      </c>
      <c r="H1" s="3" t="s">
        <v>1065</v>
      </c>
      <c r="I1" s="3" t="s">
        <v>1066</v>
      </c>
    </row>
    <row r="2" spans="1:9">
      <c r="A2" s="34">
        <v>109589950</v>
      </c>
      <c r="B2" s="36">
        <v>31008401.649999946</v>
      </c>
      <c r="C2" s="38">
        <v>350</v>
      </c>
      <c r="F2" s="37">
        <f>B2/A2</f>
        <v>0.28294931834534048</v>
      </c>
      <c r="H2" s="3" t="s">
        <v>1067</v>
      </c>
      <c r="I2" s="52">
        <f>A2</f>
        <v>109589950</v>
      </c>
    </row>
    <row r="3" spans="1:9">
      <c r="H3" s="3" t="s">
        <v>1068</v>
      </c>
      <c r="I3" s="52">
        <f>-(A2-B2)</f>
        <v>-78581548.350000054</v>
      </c>
    </row>
    <row r="4" spans="1:9">
      <c r="H4" s="3" t="s">
        <v>1069</v>
      </c>
      <c r="I4" s="53">
        <f>B2</f>
        <v>31008401.649999946</v>
      </c>
    </row>
    <row r="6" spans="1:9">
      <c r="A6" s="50" t="s">
        <v>1063</v>
      </c>
      <c r="B6" t="s">
        <v>1056</v>
      </c>
      <c r="E6" s="50" t="s">
        <v>1063</v>
      </c>
      <c r="F6" t="s">
        <v>1056</v>
      </c>
    </row>
    <row r="7" spans="1:9">
      <c r="A7" s="51" t="s">
        <v>999</v>
      </c>
      <c r="B7" s="34">
        <v>28203150</v>
      </c>
      <c r="E7" s="51" t="s">
        <v>1031</v>
      </c>
      <c r="F7" s="34">
        <v>11340400</v>
      </c>
    </row>
    <row r="8" spans="1:9">
      <c r="A8" s="51" t="s">
        <v>1002</v>
      </c>
      <c r="B8" s="34">
        <v>29260950</v>
      </c>
      <c r="E8" s="51" t="s">
        <v>1040</v>
      </c>
      <c r="F8" s="34">
        <v>10488150</v>
      </c>
    </row>
    <row r="9" spans="1:9">
      <c r="A9" s="51" t="s">
        <v>997</v>
      </c>
      <c r="B9" s="34">
        <v>27458250</v>
      </c>
      <c r="E9" s="51" t="s">
        <v>1041</v>
      </c>
      <c r="F9" s="34">
        <v>10301200</v>
      </c>
    </row>
    <row r="10" spans="1:9">
      <c r="A10" s="51" t="s">
        <v>994</v>
      </c>
      <c r="B10" s="34">
        <v>24667600</v>
      </c>
      <c r="E10" s="51" t="s">
        <v>1042</v>
      </c>
      <c r="F10" s="34">
        <v>8917600</v>
      </c>
    </row>
    <row r="11" spans="1:9">
      <c r="A11" s="51" t="s">
        <v>1064</v>
      </c>
      <c r="B11" s="34">
        <v>109589950</v>
      </c>
      <c r="E11" s="51" t="s">
        <v>1044</v>
      </c>
      <c r="F11" s="34">
        <v>9655500</v>
      </c>
    </row>
    <row r="12" spans="1:9">
      <c r="E12" s="51" t="s">
        <v>1045</v>
      </c>
      <c r="F12" s="34">
        <v>6225800</v>
      </c>
    </row>
    <row r="13" spans="1:9">
      <c r="E13" s="51" t="s">
        <v>1046</v>
      </c>
      <c r="F13" s="34">
        <v>8003550</v>
      </c>
    </row>
    <row r="14" spans="1:9">
      <c r="E14" s="51" t="s">
        <v>1048</v>
      </c>
      <c r="F14" s="34">
        <v>8996950</v>
      </c>
    </row>
    <row r="15" spans="1:9">
      <c r="E15" s="51" t="s">
        <v>1049</v>
      </c>
      <c r="F15" s="34">
        <v>5056900</v>
      </c>
    </row>
    <row r="16" spans="1:9">
      <c r="E16" s="51" t="s">
        <v>1050</v>
      </c>
      <c r="F16" s="34">
        <v>10756200</v>
      </c>
    </row>
    <row r="17" spans="5:6">
      <c r="E17" s="51" t="s">
        <v>1052</v>
      </c>
      <c r="F17" s="34">
        <v>8167700</v>
      </c>
    </row>
    <row r="18" spans="5:6">
      <c r="E18" s="51" t="s">
        <v>1053</v>
      </c>
      <c r="F18" s="34">
        <v>11680000</v>
      </c>
    </row>
    <row r="19" spans="5:6">
      <c r="E19" s="51" t="s">
        <v>1064</v>
      </c>
      <c r="F19" s="34">
        <v>109589950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FD7-1DEB-430E-B4DD-237CAA18A534}">
  <dimension ref="A1:L361"/>
  <sheetViews>
    <sheetView workbookViewId="0">
      <selection activeCell="L24" sqref="L24"/>
    </sheetView>
  </sheetViews>
  <sheetFormatPr baseColWidth="10" defaultRowHeight="15"/>
  <cols>
    <col min="1" max="1" width="73.42578125" customWidth="1"/>
    <col min="2" max="3" width="12" customWidth="1"/>
    <col min="4" max="4" width="13" customWidth="1"/>
    <col min="5" max="5" width="12" customWidth="1"/>
    <col min="6" max="6" width="16" customWidth="1"/>
    <col min="7" max="7" width="15.42578125" customWidth="1"/>
    <col min="8" max="8" width="15.28515625" customWidth="1"/>
    <col min="9" max="9" width="13" customWidth="1"/>
    <col min="10" max="10" width="12" customWidth="1"/>
  </cols>
  <sheetData>
    <row r="1" spans="1:11">
      <c r="A1" s="22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>
      <c r="A2" s="23" t="s">
        <v>47</v>
      </c>
      <c r="B2" s="25">
        <v>46350</v>
      </c>
      <c r="C2" s="1" t="s">
        <v>48</v>
      </c>
      <c r="D2" s="1" t="s">
        <v>49</v>
      </c>
      <c r="E2" s="1">
        <v>12</v>
      </c>
      <c r="F2" s="1">
        <v>45000</v>
      </c>
      <c r="G2" s="1" t="s">
        <v>50</v>
      </c>
      <c r="H2" s="1">
        <v>0</v>
      </c>
      <c r="I2" s="1">
        <v>2500</v>
      </c>
      <c r="J2" s="1" t="s">
        <v>51</v>
      </c>
      <c r="K2" s="1" t="s">
        <v>52</v>
      </c>
    </row>
    <row r="3" spans="1:11">
      <c r="A3" s="24" t="s">
        <v>53</v>
      </c>
      <c r="B3" s="25">
        <v>46302</v>
      </c>
      <c r="C3" s="1" t="s">
        <v>54</v>
      </c>
      <c r="D3" s="1" t="s">
        <v>55</v>
      </c>
      <c r="E3" s="1">
        <v>7</v>
      </c>
      <c r="F3" s="1">
        <v>12000</v>
      </c>
      <c r="G3" s="1" t="s">
        <v>56</v>
      </c>
      <c r="H3" s="1">
        <v>0</v>
      </c>
      <c r="I3" s="1">
        <v>3500</v>
      </c>
      <c r="J3" s="1" t="s">
        <v>57</v>
      </c>
      <c r="K3" s="1" t="s">
        <v>58</v>
      </c>
    </row>
    <row r="4" spans="1:11">
      <c r="A4" s="23" t="s">
        <v>59</v>
      </c>
      <c r="B4" s="25">
        <v>46036</v>
      </c>
      <c r="C4" s="1" t="s">
        <v>60</v>
      </c>
      <c r="D4" s="1" t="s">
        <v>61</v>
      </c>
      <c r="E4" s="1">
        <v>12</v>
      </c>
      <c r="F4" s="1">
        <v>85000</v>
      </c>
      <c r="G4" s="1" t="s">
        <v>62</v>
      </c>
      <c r="H4" s="1" t="s">
        <v>63</v>
      </c>
      <c r="I4" s="1">
        <v>5000</v>
      </c>
      <c r="J4" s="1" t="s">
        <v>64</v>
      </c>
      <c r="K4" s="1" t="s">
        <v>65</v>
      </c>
    </row>
    <row r="5" spans="1:11">
      <c r="A5" s="24" t="s">
        <v>66</v>
      </c>
      <c r="B5" s="25">
        <v>46104</v>
      </c>
      <c r="C5" s="1" t="s">
        <v>67</v>
      </c>
      <c r="D5" s="1" t="s">
        <v>68</v>
      </c>
      <c r="E5" s="1">
        <v>5</v>
      </c>
      <c r="F5" s="1">
        <v>24000</v>
      </c>
      <c r="G5" s="1" t="s">
        <v>69</v>
      </c>
      <c r="H5" s="1" t="s">
        <v>70</v>
      </c>
      <c r="I5" s="1">
        <v>2500</v>
      </c>
      <c r="J5" s="1" t="s">
        <v>71</v>
      </c>
      <c r="K5" s="1" t="s">
        <v>72</v>
      </c>
    </row>
    <row r="6" spans="1:11">
      <c r="A6" s="23" t="s">
        <v>73</v>
      </c>
      <c r="B6" s="25">
        <v>46072</v>
      </c>
      <c r="C6" s="1" t="s">
        <v>74</v>
      </c>
      <c r="D6" s="1" t="s">
        <v>75</v>
      </c>
      <c r="E6" s="1">
        <v>10</v>
      </c>
      <c r="F6" s="1">
        <v>45000</v>
      </c>
      <c r="G6" s="1" t="s">
        <v>76</v>
      </c>
      <c r="H6" s="1" t="s">
        <v>77</v>
      </c>
      <c r="I6" s="1">
        <v>9000</v>
      </c>
      <c r="J6" s="1" t="s">
        <v>71</v>
      </c>
      <c r="K6" s="1" t="s">
        <v>72</v>
      </c>
    </row>
    <row r="7" spans="1:11">
      <c r="A7" s="24" t="s">
        <v>78</v>
      </c>
      <c r="B7" s="25">
        <v>46063</v>
      </c>
      <c r="C7" s="1" t="s">
        <v>79</v>
      </c>
      <c r="D7" s="1" t="s">
        <v>80</v>
      </c>
      <c r="E7" s="1">
        <v>11</v>
      </c>
      <c r="F7" s="1">
        <v>60000</v>
      </c>
      <c r="G7" s="1" t="s">
        <v>81</v>
      </c>
      <c r="H7" s="1">
        <v>0</v>
      </c>
      <c r="I7" s="1">
        <v>2500</v>
      </c>
      <c r="J7" s="1" t="s">
        <v>51</v>
      </c>
      <c r="K7" s="1" t="s">
        <v>82</v>
      </c>
    </row>
    <row r="8" spans="1:11">
      <c r="A8" s="23" t="s">
        <v>83</v>
      </c>
      <c r="B8" s="25">
        <v>46171</v>
      </c>
      <c r="C8" s="1" t="s">
        <v>84</v>
      </c>
      <c r="D8" s="1" t="s">
        <v>85</v>
      </c>
      <c r="E8" s="1">
        <v>2</v>
      </c>
      <c r="F8" s="1">
        <v>85000</v>
      </c>
      <c r="G8" s="1" t="s">
        <v>86</v>
      </c>
      <c r="H8" s="1" t="s">
        <v>70</v>
      </c>
      <c r="I8" s="1">
        <v>3500</v>
      </c>
      <c r="J8" s="1" t="s">
        <v>87</v>
      </c>
      <c r="K8" s="1" t="s">
        <v>88</v>
      </c>
    </row>
    <row r="9" spans="1:11">
      <c r="A9" s="24" t="s">
        <v>89</v>
      </c>
      <c r="B9" s="25">
        <v>46130</v>
      </c>
      <c r="C9" s="1" t="s">
        <v>90</v>
      </c>
      <c r="D9" s="1" t="s">
        <v>91</v>
      </c>
      <c r="E9" s="1">
        <v>11</v>
      </c>
      <c r="F9" s="1">
        <v>18000</v>
      </c>
      <c r="G9" s="1" t="s">
        <v>92</v>
      </c>
      <c r="H9" s="1">
        <v>0</v>
      </c>
      <c r="I9" s="1">
        <v>9000</v>
      </c>
      <c r="J9" s="1" t="s">
        <v>51</v>
      </c>
      <c r="K9" s="1" t="s">
        <v>82</v>
      </c>
    </row>
    <row r="10" spans="1:11">
      <c r="A10" s="23" t="s">
        <v>93</v>
      </c>
      <c r="B10" s="25">
        <v>46106</v>
      </c>
      <c r="C10" s="1" t="s">
        <v>94</v>
      </c>
      <c r="D10" s="1" t="s">
        <v>95</v>
      </c>
      <c r="E10" s="1">
        <v>5</v>
      </c>
      <c r="F10" s="1">
        <v>32000</v>
      </c>
      <c r="G10" s="1" t="s">
        <v>96</v>
      </c>
      <c r="H10" s="1">
        <v>0</v>
      </c>
      <c r="I10" s="1">
        <v>3500</v>
      </c>
      <c r="J10" s="1" t="s">
        <v>64</v>
      </c>
      <c r="K10" s="1" t="s">
        <v>65</v>
      </c>
    </row>
    <row r="11" spans="1:11">
      <c r="A11" s="24" t="s">
        <v>97</v>
      </c>
      <c r="B11" s="25">
        <v>46184</v>
      </c>
      <c r="C11" s="1" t="s">
        <v>98</v>
      </c>
      <c r="D11" s="1" t="s">
        <v>99</v>
      </c>
      <c r="E11" s="1">
        <v>2</v>
      </c>
      <c r="F11" s="1">
        <v>32000</v>
      </c>
      <c r="G11" s="1" t="s">
        <v>100</v>
      </c>
      <c r="H11" s="1" t="s">
        <v>63</v>
      </c>
      <c r="I11" s="1">
        <v>5000</v>
      </c>
      <c r="J11" s="1" t="s">
        <v>101</v>
      </c>
      <c r="K11" s="1" t="s">
        <v>52</v>
      </c>
    </row>
    <row r="12" spans="1:11">
      <c r="A12" s="23" t="s">
        <v>102</v>
      </c>
      <c r="B12" s="25">
        <v>46278</v>
      </c>
      <c r="C12" s="1" t="s">
        <v>103</v>
      </c>
      <c r="D12" s="1" t="s">
        <v>104</v>
      </c>
      <c r="E12" s="1">
        <v>8</v>
      </c>
      <c r="F12" s="1">
        <v>24000</v>
      </c>
      <c r="G12" s="1" t="s">
        <v>105</v>
      </c>
      <c r="H12" s="1">
        <v>0</v>
      </c>
      <c r="I12" s="1">
        <v>9000</v>
      </c>
      <c r="J12" s="1" t="s">
        <v>57</v>
      </c>
      <c r="K12" s="1" t="s">
        <v>88</v>
      </c>
    </row>
    <row r="13" spans="1:11">
      <c r="A13" s="24" t="s">
        <v>106</v>
      </c>
      <c r="B13" s="25">
        <v>46322</v>
      </c>
      <c r="C13" s="1" t="s">
        <v>67</v>
      </c>
      <c r="D13" s="1" t="s">
        <v>55</v>
      </c>
      <c r="E13" s="1">
        <v>7</v>
      </c>
      <c r="F13" s="1">
        <v>60000</v>
      </c>
      <c r="G13" s="1" t="s">
        <v>107</v>
      </c>
      <c r="H13" s="1">
        <v>0</v>
      </c>
      <c r="I13" s="1">
        <v>9000</v>
      </c>
      <c r="J13" s="1" t="s">
        <v>108</v>
      </c>
      <c r="K13" s="1" t="s">
        <v>65</v>
      </c>
    </row>
    <row r="14" spans="1:11">
      <c r="A14" s="23" t="s">
        <v>109</v>
      </c>
      <c r="B14" s="25">
        <v>46047</v>
      </c>
      <c r="C14" s="1" t="s">
        <v>48</v>
      </c>
      <c r="D14" s="1" t="s">
        <v>110</v>
      </c>
      <c r="E14" s="1">
        <v>11</v>
      </c>
      <c r="F14" s="1">
        <v>24000</v>
      </c>
      <c r="G14" s="1" t="s">
        <v>111</v>
      </c>
      <c r="H14" s="1" t="s">
        <v>77</v>
      </c>
      <c r="I14" s="1">
        <v>9000</v>
      </c>
      <c r="J14" s="1" t="s">
        <v>71</v>
      </c>
      <c r="K14" s="1" t="s">
        <v>72</v>
      </c>
    </row>
    <row r="15" spans="1:11">
      <c r="A15" s="24" t="s">
        <v>112</v>
      </c>
      <c r="B15" s="25">
        <v>46218</v>
      </c>
      <c r="C15" s="1" t="s">
        <v>113</v>
      </c>
      <c r="D15" s="1" t="s">
        <v>114</v>
      </c>
      <c r="E15" s="1">
        <v>9</v>
      </c>
      <c r="F15" s="1">
        <v>45000</v>
      </c>
      <c r="G15" s="1" t="s">
        <v>115</v>
      </c>
      <c r="H15" s="1">
        <v>0</v>
      </c>
      <c r="I15" s="1">
        <v>2500</v>
      </c>
      <c r="J15" s="1" t="s">
        <v>51</v>
      </c>
      <c r="K15" s="1" t="s">
        <v>58</v>
      </c>
    </row>
    <row r="16" spans="1:11">
      <c r="A16" s="23" t="s">
        <v>116</v>
      </c>
      <c r="B16" s="25">
        <v>46159</v>
      </c>
      <c r="C16" s="1" t="s">
        <v>117</v>
      </c>
      <c r="D16" s="1" t="s">
        <v>118</v>
      </c>
      <c r="E16" s="1">
        <v>5</v>
      </c>
      <c r="F16" s="1">
        <v>85000</v>
      </c>
      <c r="G16" s="1" t="s">
        <v>119</v>
      </c>
      <c r="H16" s="1">
        <v>0</v>
      </c>
      <c r="I16" s="1">
        <v>5000</v>
      </c>
      <c r="J16" s="1" t="s">
        <v>57</v>
      </c>
      <c r="K16" s="1" t="s">
        <v>82</v>
      </c>
    </row>
    <row r="17" spans="1:12">
      <c r="A17" s="24" t="s">
        <v>120</v>
      </c>
      <c r="B17" s="25">
        <v>46282</v>
      </c>
      <c r="C17" s="1" t="s">
        <v>121</v>
      </c>
      <c r="D17" s="1" t="s">
        <v>104</v>
      </c>
      <c r="E17" s="1">
        <v>5</v>
      </c>
      <c r="F17" s="1">
        <v>32000</v>
      </c>
      <c r="G17" s="1" t="s">
        <v>122</v>
      </c>
      <c r="H17" s="1">
        <v>0</v>
      </c>
      <c r="I17" s="1">
        <v>9000</v>
      </c>
      <c r="J17" s="1" t="s">
        <v>64</v>
      </c>
      <c r="K17" s="1" t="s">
        <v>58</v>
      </c>
    </row>
    <row r="18" spans="1:12">
      <c r="A18" s="23" t="s">
        <v>123</v>
      </c>
      <c r="B18" s="25">
        <v>46023</v>
      </c>
      <c r="C18" s="1" t="s">
        <v>113</v>
      </c>
      <c r="D18" s="1" t="s">
        <v>68</v>
      </c>
      <c r="E18" s="1">
        <v>8</v>
      </c>
      <c r="F18" s="1">
        <v>12000</v>
      </c>
      <c r="G18" s="1" t="s">
        <v>124</v>
      </c>
      <c r="H18" s="1" t="s">
        <v>70</v>
      </c>
      <c r="I18" s="1">
        <v>5000</v>
      </c>
      <c r="J18" s="1" t="s">
        <v>101</v>
      </c>
      <c r="K18" s="1" t="s">
        <v>65</v>
      </c>
    </row>
    <row r="19" spans="1:12">
      <c r="A19" s="24" t="s">
        <v>125</v>
      </c>
      <c r="B19" s="25">
        <v>46146</v>
      </c>
      <c r="C19" s="1" t="s">
        <v>126</v>
      </c>
      <c r="D19" s="1" t="s">
        <v>127</v>
      </c>
      <c r="E19" s="1">
        <v>2</v>
      </c>
      <c r="F19" s="1">
        <v>110000</v>
      </c>
      <c r="G19" s="1" t="s">
        <v>128</v>
      </c>
      <c r="H19" s="1" t="s">
        <v>63</v>
      </c>
      <c r="I19" s="1">
        <v>3500</v>
      </c>
      <c r="J19" s="1" t="s">
        <v>101</v>
      </c>
      <c r="K19" s="1" t="s">
        <v>52</v>
      </c>
    </row>
    <row r="20" spans="1:12">
      <c r="A20" s="23" t="s">
        <v>129</v>
      </c>
      <c r="B20" s="25">
        <v>46266</v>
      </c>
      <c r="C20" s="1" t="s">
        <v>79</v>
      </c>
      <c r="D20" s="1" t="s">
        <v>130</v>
      </c>
      <c r="E20" s="1">
        <v>5</v>
      </c>
      <c r="F20" s="1">
        <v>85000</v>
      </c>
      <c r="G20" s="1" t="s">
        <v>131</v>
      </c>
      <c r="H20" s="1" t="s">
        <v>63</v>
      </c>
      <c r="I20" s="1">
        <v>3500</v>
      </c>
      <c r="J20" s="1" t="s">
        <v>51</v>
      </c>
      <c r="K20" s="1" t="s">
        <v>88</v>
      </c>
    </row>
    <row r="21" spans="1:12">
      <c r="A21" s="24" t="s">
        <v>132</v>
      </c>
      <c r="B21" s="25">
        <v>46227</v>
      </c>
      <c r="C21" s="1" t="s">
        <v>133</v>
      </c>
      <c r="D21" s="1" t="s">
        <v>114</v>
      </c>
      <c r="E21" s="1">
        <v>9</v>
      </c>
      <c r="F21" s="1">
        <v>110000</v>
      </c>
      <c r="G21" s="1" t="s">
        <v>134</v>
      </c>
      <c r="H21" s="1">
        <v>0</v>
      </c>
      <c r="I21" s="1">
        <v>2500</v>
      </c>
      <c r="J21" s="1" t="s">
        <v>87</v>
      </c>
      <c r="K21" s="1" t="s">
        <v>65</v>
      </c>
    </row>
    <row r="22" spans="1:12">
      <c r="A22" s="23" t="s">
        <v>135</v>
      </c>
      <c r="B22" s="25">
        <v>46324</v>
      </c>
      <c r="C22" s="1" t="s">
        <v>79</v>
      </c>
      <c r="D22" s="1" t="s">
        <v>85</v>
      </c>
      <c r="E22" s="1">
        <v>10</v>
      </c>
      <c r="F22" s="1">
        <v>32000</v>
      </c>
      <c r="G22" s="1" t="s">
        <v>136</v>
      </c>
      <c r="H22" s="1">
        <v>0</v>
      </c>
      <c r="I22" s="1">
        <v>3500</v>
      </c>
      <c r="J22" s="1" t="s">
        <v>71</v>
      </c>
      <c r="K22" s="1" t="s">
        <v>65</v>
      </c>
    </row>
    <row r="23" spans="1:12">
      <c r="A23" s="24" t="s">
        <v>137</v>
      </c>
      <c r="B23" s="25">
        <v>46192</v>
      </c>
      <c r="C23" s="1" t="s">
        <v>138</v>
      </c>
      <c r="D23" s="1" t="s">
        <v>139</v>
      </c>
      <c r="E23" s="1">
        <v>4</v>
      </c>
      <c r="F23" s="1">
        <v>45000</v>
      </c>
      <c r="G23" s="1" t="s">
        <v>140</v>
      </c>
      <c r="H23" s="1">
        <v>0</v>
      </c>
      <c r="I23" s="1">
        <v>9000</v>
      </c>
      <c r="J23" s="1" t="s">
        <v>101</v>
      </c>
      <c r="K23" s="1" t="s">
        <v>52</v>
      </c>
    </row>
    <row r="24" spans="1:12">
      <c r="A24" s="23" t="s">
        <v>141</v>
      </c>
      <c r="B24" s="25">
        <v>46315</v>
      </c>
      <c r="C24" s="1" t="s">
        <v>142</v>
      </c>
      <c r="D24" s="1" t="s">
        <v>143</v>
      </c>
      <c r="E24" s="1">
        <v>4</v>
      </c>
      <c r="F24" s="1">
        <v>110000</v>
      </c>
      <c r="G24" s="1" t="s">
        <v>144</v>
      </c>
      <c r="H24" s="1">
        <v>0</v>
      </c>
      <c r="I24" s="1">
        <v>2500</v>
      </c>
      <c r="J24" s="1" t="s">
        <v>71</v>
      </c>
      <c r="K24" s="1" t="s">
        <v>52</v>
      </c>
      <c r="L24" s="1"/>
    </row>
    <row r="25" spans="1:12">
      <c r="A25" s="24" t="s">
        <v>145</v>
      </c>
      <c r="B25" s="25">
        <v>46243</v>
      </c>
      <c r="C25" s="1" t="s">
        <v>74</v>
      </c>
      <c r="D25" s="1" t="s">
        <v>146</v>
      </c>
      <c r="E25" s="1">
        <v>7</v>
      </c>
      <c r="F25" s="1">
        <v>110000</v>
      </c>
      <c r="G25" s="1" t="s">
        <v>147</v>
      </c>
      <c r="H25" s="1">
        <v>0</v>
      </c>
      <c r="I25" s="1">
        <v>2500</v>
      </c>
      <c r="J25" s="1" t="s">
        <v>71</v>
      </c>
      <c r="K25" s="1" t="s">
        <v>72</v>
      </c>
    </row>
    <row r="26" spans="1:12">
      <c r="A26" s="23" t="s">
        <v>148</v>
      </c>
      <c r="B26" s="25">
        <v>46196</v>
      </c>
      <c r="C26" s="1" t="s">
        <v>121</v>
      </c>
      <c r="D26" s="1" t="s">
        <v>85</v>
      </c>
      <c r="E26" s="1">
        <v>4</v>
      </c>
      <c r="F26" s="1">
        <v>32000</v>
      </c>
      <c r="G26" s="1" t="s">
        <v>149</v>
      </c>
      <c r="H26" s="1">
        <v>0</v>
      </c>
      <c r="I26" s="1">
        <v>7000</v>
      </c>
      <c r="J26" s="1" t="s">
        <v>101</v>
      </c>
      <c r="K26" s="1" t="s">
        <v>88</v>
      </c>
    </row>
    <row r="27" spans="1:12">
      <c r="A27" s="24" t="s">
        <v>150</v>
      </c>
      <c r="B27" s="25">
        <v>46259</v>
      </c>
      <c r="C27" s="1" t="s">
        <v>151</v>
      </c>
      <c r="D27" s="1" t="s">
        <v>127</v>
      </c>
      <c r="E27" s="1">
        <v>8</v>
      </c>
      <c r="F27" s="1">
        <v>18000</v>
      </c>
      <c r="G27" s="1" t="s">
        <v>152</v>
      </c>
      <c r="H27" s="1" t="s">
        <v>63</v>
      </c>
      <c r="I27" s="1">
        <v>2500</v>
      </c>
      <c r="J27" s="1" t="s">
        <v>71</v>
      </c>
      <c r="K27" s="1" t="s">
        <v>82</v>
      </c>
    </row>
    <row r="28" spans="1:12">
      <c r="A28" s="23" t="s">
        <v>153</v>
      </c>
      <c r="B28" s="25">
        <v>46108</v>
      </c>
      <c r="C28" s="1" t="s">
        <v>154</v>
      </c>
      <c r="D28" s="1" t="s">
        <v>143</v>
      </c>
      <c r="E28" s="1">
        <v>8</v>
      </c>
      <c r="F28" s="1">
        <v>32000</v>
      </c>
      <c r="G28" s="1" t="s">
        <v>155</v>
      </c>
      <c r="H28" s="1">
        <v>0</v>
      </c>
      <c r="I28" s="1">
        <v>3500</v>
      </c>
      <c r="J28" s="1"/>
      <c r="K28" s="1" t="s">
        <v>65</v>
      </c>
    </row>
    <row r="29" spans="1:12">
      <c r="A29" s="24" t="s">
        <v>156</v>
      </c>
      <c r="B29" s="25">
        <v>46222</v>
      </c>
      <c r="C29" s="1" t="s">
        <v>157</v>
      </c>
      <c r="D29" s="1" t="s">
        <v>114</v>
      </c>
      <c r="E29" s="1">
        <v>5</v>
      </c>
      <c r="F29" s="1">
        <v>85000</v>
      </c>
      <c r="G29" s="1" t="s">
        <v>158</v>
      </c>
      <c r="H29" s="1" t="s">
        <v>63</v>
      </c>
      <c r="I29" s="1">
        <v>7000</v>
      </c>
      <c r="J29" s="1" t="s">
        <v>101</v>
      </c>
      <c r="K29" s="1" t="s">
        <v>82</v>
      </c>
    </row>
    <row r="30" spans="1:12">
      <c r="A30" s="23" t="s">
        <v>159</v>
      </c>
      <c r="B30" s="25">
        <v>46174</v>
      </c>
      <c r="C30" s="1" t="s">
        <v>160</v>
      </c>
      <c r="D30" s="1" t="s">
        <v>161</v>
      </c>
      <c r="E30" s="1">
        <v>10</v>
      </c>
      <c r="F30" s="1">
        <v>12000</v>
      </c>
      <c r="G30" s="1" t="s">
        <v>162</v>
      </c>
      <c r="H30" s="1">
        <v>0</v>
      </c>
      <c r="I30" s="1">
        <v>2500</v>
      </c>
      <c r="J30" s="1" t="s">
        <v>57</v>
      </c>
      <c r="K30" s="1" t="s">
        <v>72</v>
      </c>
    </row>
    <row r="31" spans="1:12">
      <c r="A31" s="24" t="s">
        <v>163</v>
      </c>
      <c r="B31" s="25">
        <v>46280</v>
      </c>
      <c r="C31" s="1" t="s">
        <v>164</v>
      </c>
      <c r="D31" s="1" t="s">
        <v>130</v>
      </c>
      <c r="E31" s="1">
        <v>1</v>
      </c>
      <c r="F31" s="1">
        <v>18000</v>
      </c>
      <c r="G31" s="1" t="s">
        <v>165</v>
      </c>
      <c r="H31" s="1">
        <v>0</v>
      </c>
      <c r="I31" s="1">
        <v>9000</v>
      </c>
      <c r="J31" s="1" t="s">
        <v>71</v>
      </c>
      <c r="K31" s="1" t="s">
        <v>52</v>
      </c>
    </row>
    <row r="32" spans="1:12">
      <c r="A32" s="23" t="s">
        <v>166</v>
      </c>
      <c r="B32" s="25">
        <v>46143</v>
      </c>
      <c r="C32" s="1" t="s">
        <v>98</v>
      </c>
      <c r="D32" s="1" t="s">
        <v>118</v>
      </c>
      <c r="E32" s="1">
        <v>10</v>
      </c>
      <c r="F32" s="1">
        <v>32000</v>
      </c>
      <c r="G32" s="1" t="s">
        <v>167</v>
      </c>
      <c r="H32" s="1">
        <v>0</v>
      </c>
      <c r="I32" s="1">
        <v>9000</v>
      </c>
      <c r="J32" s="1" t="s">
        <v>71</v>
      </c>
      <c r="K32" s="1" t="s">
        <v>72</v>
      </c>
    </row>
    <row r="33" spans="1:11">
      <c r="A33" s="24" t="s">
        <v>168</v>
      </c>
      <c r="B33" s="25">
        <v>46359</v>
      </c>
      <c r="C33" s="1" t="s">
        <v>169</v>
      </c>
      <c r="D33" s="1" t="s">
        <v>55</v>
      </c>
      <c r="E33" s="1">
        <v>9</v>
      </c>
      <c r="F33" s="1">
        <v>60000</v>
      </c>
      <c r="G33" s="1" t="s">
        <v>170</v>
      </c>
      <c r="H33" s="1">
        <v>0</v>
      </c>
      <c r="I33" s="1">
        <v>5000</v>
      </c>
      <c r="J33" s="1" t="s">
        <v>101</v>
      </c>
      <c r="K33" s="1" t="s">
        <v>88</v>
      </c>
    </row>
    <row r="34" spans="1:11">
      <c r="A34" s="23" t="s">
        <v>171</v>
      </c>
      <c r="B34" s="25">
        <v>46225</v>
      </c>
      <c r="C34" s="1" t="s">
        <v>172</v>
      </c>
      <c r="D34" s="1" t="s">
        <v>173</v>
      </c>
      <c r="E34" s="1">
        <v>11</v>
      </c>
      <c r="F34" s="1">
        <v>45000</v>
      </c>
      <c r="G34" s="1" t="s">
        <v>174</v>
      </c>
      <c r="H34" s="1">
        <v>0</v>
      </c>
      <c r="I34" s="1">
        <v>2500</v>
      </c>
      <c r="J34" s="1" t="s">
        <v>108</v>
      </c>
      <c r="K34" s="1" t="s">
        <v>58</v>
      </c>
    </row>
    <row r="35" spans="1:11">
      <c r="A35" s="24" t="s">
        <v>175</v>
      </c>
      <c r="B35" s="25">
        <v>46311</v>
      </c>
      <c r="C35" s="1" t="s">
        <v>176</v>
      </c>
      <c r="D35" s="1" t="s">
        <v>127</v>
      </c>
      <c r="E35" s="1">
        <v>9</v>
      </c>
      <c r="F35" s="1">
        <v>32000</v>
      </c>
      <c r="G35" s="1" t="s">
        <v>177</v>
      </c>
      <c r="H35" s="1">
        <v>0</v>
      </c>
      <c r="I35" s="1">
        <v>5000</v>
      </c>
      <c r="J35" s="1" t="s">
        <v>71</v>
      </c>
      <c r="K35" s="1" t="s">
        <v>82</v>
      </c>
    </row>
    <row r="36" spans="1:11">
      <c r="A36" s="23" t="s">
        <v>178</v>
      </c>
      <c r="B36" s="25">
        <v>46212</v>
      </c>
      <c r="C36" s="1" t="s">
        <v>179</v>
      </c>
      <c r="D36" s="1" t="s">
        <v>130</v>
      </c>
      <c r="E36" s="1">
        <v>8</v>
      </c>
      <c r="F36" s="1">
        <v>45000</v>
      </c>
      <c r="G36" s="1" t="s">
        <v>180</v>
      </c>
      <c r="H36" s="1" t="s">
        <v>63</v>
      </c>
      <c r="I36" s="1">
        <v>2500</v>
      </c>
      <c r="J36" s="1" t="s">
        <v>51</v>
      </c>
      <c r="K36" s="1" t="s">
        <v>58</v>
      </c>
    </row>
    <row r="37" spans="1:11">
      <c r="A37" s="24" t="s">
        <v>181</v>
      </c>
      <c r="B37" s="25">
        <v>46176</v>
      </c>
      <c r="C37" s="1" t="s">
        <v>121</v>
      </c>
      <c r="D37" s="1" t="s">
        <v>110</v>
      </c>
      <c r="E37" s="1">
        <v>5</v>
      </c>
      <c r="F37" s="1">
        <v>18000</v>
      </c>
      <c r="G37" s="1" t="s">
        <v>182</v>
      </c>
      <c r="H37" s="1" t="s">
        <v>63</v>
      </c>
      <c r="I37" s="1">
        <v>3500</v>
      </c>
      <c r="J37" s="1" t="s">
        <v>87</v>
      </c>
      <c r="K37" s="1" t="s">
        <v>88</v>
      </c>
    </row>
    <row r="38" spans="1:11">
      <c r="A38" s="23" t="s">
        <v>183</v>
      </c>
      <c r="B38" s="25">
        <v>46332</v>
      </c>
      <c r="C38" s="1" t="s">
        <v>184</v>
      </c>
      <c r="D38" s="1" t="s">
        <v>91</v>
      </c>
      <c r="E38" s="1">
        <v>6</v>
      </c>
      <c r="F38" s="1">
        <v>32000</v>
      </c>
      <c r="G38" s="1" t="s">
        <v>185</v>
      </c>
      <c r="H38" s="1" t="s">
        <v>70</v>
      </c>
      <c r="I38" s="1">
        <v>9000</v>
      </c>
      <c r="J38" s="1" t="s">
        <v>108</v>
      </c>
      <c r="K38" s="1" t="s">
        <v>88</v>
      </c>
    </row>
    <row r="39" spans="1:11">
      <c r="A39" s="24" t="s">
        <v>186</v>
      </c>
      <c r="B39" s="25">
        <v>46049</v>
      </c>
      <c r="C39" s="1" t="s">
        <v>54</v>
      </c>
      <c r="D39" s="1" t="s">
        <v>104</v>
      </c>
      <c r="E39" s="1">
        <v>7</v>
      </c>
      <c r="F39" s="1">
        <v>45000</v>
      </c>
      <c r="G39" s="1" t="s">
        <v>187</v>
      </c>
      <c r="H39" s="1" t="s">
        <v>70</v>
      </c>
      <c r="I39" s="1">
        <v>3500</v>
      </c>
      <c r="J39" s="1" t="s">
        <v>51</v>
      </c>
      <c r="K39" s="1" t="s">
        <v>88</v>
      </c>
    </row>
    <row r="40" spans="1:11">
      <c r="A40" s="23" t="s">
        <v>188</v>
      </c>
      <c r="B40" s="25">
        <v>46105</v>
      </c>
      <c r="C40" s="1" t="s">
        <v>189</v>
      </c>
      <c r="D40" s="1" t="s">
        <v>190</v>
      </c>
      <c r="E40" s="1">
        <v>12</v>
      </c>
      <c r="F40" s="1">
        <v>85000</v>
      </c>
      <c r="G40" s="1" t="s">
        <v>191</v>
      </c>
      <c r="H40" s="1">
        <v>0</v>
      </c>
      <c r="I40" s="1">
        <v>2500</v>
      </c>
      <c r="J40" s="1" t="s">
        <v>51</v>
      </c>
      <c r="K40" s="1" t="s">
        <v>82</v>
      </c>
    </row>
    <row r="41" spans="1:11">
      <c r="A41" s="24" t="s">
        <v>192</v>
      </c>
      <c r="B41" s="25">
        <v>46302</v>
      </c>
      <c r="C41" s="1" t="s">
        <v>193</v>
      </c>
      <c r="D41" s="1" t="s">
        <v>75</v>
      </c>
      <c r="E41" s="1">
        <v>10</v>
      </c>
      <c r="F41" s="1">
        <v>24000</v>
      </c>
      <c r="G41" s="1" t="s">
        <v>194</v>
      </c>
      <c r="H41" s="1">
        <v>0</v>
      </c>
      <c r="I41" s="1">
        <v>5000</v>
      </c>
      <c r="J41" s="1" t="s">
        <v>87</v>
      </c>
      <c r="K41" s="1" t="s">
        <v>65</v>
      </c>
    </row>
    <row r="42" spans="1:11">
      <c r="A42" s="23" t="s">
        <v>195</v>
      </c>
      <c r="B42" s="25">
        <v>46206</v>
      </c>
      <c r="C42" s="1" t="s">
        <v>184</v>
      </c>
      <c r="D42" s="1" t="s">
        <v>173</v>
      </c>
      <c r="E42" s="1">
        <v>4</v>
      </c>
      <c r="F42" s="1">
        <v>18000</v>
      </c>
      <c r="G42" s="1" t="s">
        <v>196</v>
      </c>
      <c r="H42" s="1" t="s">
        <v>63</v>
      </c>
      <c r="I42" s="1">
        <v>7000</v>
      </c>
      <c r="J42" s="1" t="s">
        <v>57</v>
      </c>
      <c r="K42" s="1" t="s">
        <v>52</v>
      </c>
    </row>
    <row r="43" spans="1:11">
      <c r="A43" s="24" t="s">
        <v>197</v>
      </c>
      <c r="B43" s="25">
        <v>46102</v>
      </c>
      <c r="C43" s="1" t="s">
        <v>198</v>
      </c>
      <c r="D43" s="1" t="s">
        <v>130</v>
      </c>
      <c r="E43" s="1">
        <v>3</v>
      </c>
      <c r="F43" s="1">
        <v>85000</v>
      </c>
      <c r="G43" s="1" t="s">
        <v>199</v>
      </c>
      <c r="H43" s="1" t="s">
        <v>70</v>
      </c>
      <c r="I43" s="1">
        <v>7000</v>
      </c>
      <c r="J43" s="1" t="s">
        <v>64</v>
      </c>
      <c r="K43" s="1" t="s">
        <v>52</v>
      </c>
    </row>
    <row r="44" spans="1:11">
      <c r="A44" s="23" t="s">
        <v>200</v>
      </c>
      <c r="B44" s="25">
        <v>46150</v>
      </c>
      <c r="C44" s="1" t="s">
        <v>90</v>
      </c>
      <c r="D44" s="1" t="s">
        <v>130</v>
      </c>
      <c r="E44" s="1">
        <v>12</v>
      </c>
      <c r="F44" s="1">
        <v>18000</v>
      </c>
      <c r="G44" s="1" t="s">
        <v>201</v>
      </c>
      <c r="H44" s="1">
        <v>0</v>
      </c>
      <c r="I44" s="1">
        <v>7000</v>
      </c>
      <c r="J44" s="1" t="s">
        <v>101</v>
      </c>
      <c r="K44" s="1" t="s">
        <v>82</v>
      </c>
    </row>
    <row r="45" spans="1:11">
      <c r="A45" s="24" t="s">
        <v>202</v>
      </c>
      <c r="B45" s="25">
        <v>46258</v>
      </c>
      <c r="C45" s="1" t="s">
        <v>203</v>
      </c>
      <c r="D45" s="1" t="s">
        <v>80</v>
      </c>
      <c r="E45" s="1">
        <v>4</v>
      </c>
      <c r="F45" s="1">
        <v>32000</v>
      </c>
      <c r="G45" s="1" t="s">
        <v>204</v>
      </c>
      <c r="H45" s="1">
        <v>0</v>
      </c>
      <c r="I45" s="1">
        <v>7000</v>
      </c>
      <c r="J45" s="1" t="s">
        <v>87</v>
      </c>
      <c r="K45" s="1" t="s">
        <v>88</v>
      </c>
    </row>
    <row r="46" spans="1:11">
      <c r="A46" s="23" t="s">
        <v>205</v>
      </c>
      <c r="B46" s="25">
        <v>46058</v>
      </c>
      <c r="C46" s="1" t="s">
        <v>206</v>
      </c>
      <c r="D46" s="1" t="s">
        <v>75</v>
      </c>
      <c r="E46" s="1">
        <v>11</v>
      </c>
      <c r="F46" s="1">
        <v>85000</v>
      </c>
      <c r="G46" s="1" t="s">
        <v>207</v>
      </c>
      <c r="H46" s="1" t="s">
        <v>63</v>
      </c>
      <c r="I46" s="1">
        <v>5000</v>
      </c>
      <c r="J46" s="1" t="s">
        <v>71</v>
      </c>
      <c r="K46" s="1" t="s">
        <v>208</v>
      </c>
    </row>
    <row r="47" spans="1:11">
      <c r="A47" s="24" t="s">
        <v>209</v>
      </c>
      <c r="B47" s="25">
        <v>46156</v>
      </c>
      <c r="C47" s="1" t="s">
        <v>210</v>
      </c>
      <c r="D47" s="1" t="s">
        <v>55</v>
      </c>
      <c r="E47" s="1">
        <v>5</v>
      </c>
      <c r="F47" s="1">
        <v>12000</v>
      </c>
      <c r="G47" s="1" t="s">
        <v>211</v>
      </c>
      <c r="H47" s="1" t="s">
        <v>77</v>
      </c>
      <c r="I47" s="1">
        <v>5000</v>
      </c>
      <c r="J47" s="1" t="s">
        <v>51</v>
      </c>
      <c r="K47" s="1" t="s">
        <v>88</v>
      </c>
    </row>
    <row r="48" spans="1:11">
      <c r="A48" s="23" t="s">
        <v>212</v>
      </c>
      <c r="B48" s="25">
        <v>46246</v>
      </c>
      <c r="C48" s="1" t="s">
        <v>213</v>
      </c>
      <c r="D48" s="1" t="s">
        <v>139</v>
      </c>
      <c r="E48" s="1">
        <v>2</v>
      </c>
      <c r="F48" s="1">
        <v>85000</v>
      </c>
      <c r="G48" s="1" t="s">
        <v>214</v>
      </c>
      <c r="H48" s="1">
        <v>0</v>
      </c>
      <c r="I48" s="1">
        <v>5000</v>
      </c>
      <c r="J48" s="1" t="s">
        <v>71</v>
      </c>
      <c r="K48" s="1" t="s">
        <v>52</v>
      </c>
    </row>
    <row r="49" spans="1:11">
      <c r="A49" s="24" t="s">
        <v>215</v>
      </c>
      <c r="B49" s="25">
        <v>46246</v>
      </c>
      <c r="C49" s="1" t="s">
        <v>216</v>
      </c>
      <c r="D49" s="1" t="s">
        <v>139</v>
      </c>
      <c r="E49" s="1">
        <v>9</v>
      </c>
      <c r="F49" s="1">
        <v>32000</v>
      </c>
      <c r="G49" s="1" t="s">
        <v>217</v>
      </c>
      <c r="H49" s="1">
        <v>0</v>
      </c>
      <c r="I49" s="1">
        <v>5000</v>
      </c>
      <c r="J49" s="1" t="s">
        <v>57</v>
      </c>
      <c r="K49" s="1" t="s">
        <v>88</v>
      </c>
    </row>
    <row r="50" spans="1:11">
      <c r="A50" s="23" t="s">
        <v>218</v>
      </c>
      <c r="B50" s="25">
        <v>46362</v>
      </c>
      <c r="C50" s="1" t="s">
        <v>219</v>
      </c>
      <c r="D50" s="1" t="s">
        <v>220</v>
      </c>
      <c r="E50" s="1">
        <v>5</v>
      </c>
      <c r="F50" s="1">
        <v>45000</v>
      </c>
      <c r="G50" s="1" t="s">
        <v>221</v>
      </c>
      <c r="H50" s="1" t="s">
        <v>70</v>
      </c>
      <c r="I50" s="1">
        <v>7000</v>
      </c>
      <c r="J50" s="1" t="s">
        <v>51</v>
      </c>
      <c r="K50" s="1" t="s">
        <v>88</v>
      </c>
    </row>
    <row r="51" spans="1:11">
      <c r="A51" s="24" t="s">
        <v>222</v>
      </c>
      <c r="B51" s="25">
        <v>46306</v>
      </c>
      <c r="C51" s="1" t="s">
        <v>172</v>
      </c>
      <c r="D51" s="1" t="s">
        <v>61</v>
      </c>
      <c r="E51" s="1">
        <v>7</v>
      </c>
      <c r="F51" s="1">
        <v>85000</v>
      </c>
      <c r="G51" s="1" t="s">
        <v>223</v>
      </c>
      <c r="H51" s="1">
        <v>0</v>
      </c>
      <c r="I51" s="1">
        <v>9000</v>
      </c>
      <c r="J51" s="1" t="s">
        <v>57</v>
      </c>
      <c r="K51" s="1" t="s">
        <v>88</v>
      </c>
    </row>
    <row r="52" spans="1:11">
      <c r="A52" s="23" t="s">
        <v>224</v>
      </c>
      <c r="B52" s="25">
        <v>46230</v>
      </c>
      <c r="C52" s="1" t="s">
        <v>79</v>
      </c>
      <c r="D52" s="1" t="s">
        <v>49</v>
      </c>
      <c r="E52" s="1">
        <v>5</v>
      </c>
      <c r="F52" s="1">
        <v>45000</v>
      </c>
      <c r="G52" s="1" t="s">
        <v>225</v>
      </c>
      <c r="H52" s="1" t="s">
        <v>63</v>
      </c>
      <c r="I52" s="1">
        <v>9000</v>
      </c>
      <c r="J52" s="1" t="s">
        <v>51</v>
      </c>
      <c r="K52" s="1" t="s">
        <v>88</v>
      </c>
    </row>
    <row r="53" spans="1:11">
      <c r="A53" s="24" t="s">
        <v>226</v>
      </c>
      <c r="B53" s="25">
        <v>46261</v>
      </c>
      <c r="C53" s="1" t="s">
        <v>189</v>
      </c>
      <c r="D53" s="1" t="s">
        <v>114</v>
      </c>
      <c r="E53" s="1">
        <v>11</v>
      </c>
      <c r="F53" s="1">
        <v>32000</v>
      </c>
      <c r="G53" s="1" t="s">
        <v>227</v>
      </c>
      <c r="H53" s="1">
        <v>0</v>
      </c>
      <c r="I53" s="1">
        <v>2500</v>
      </c>
      <c r="J53" s="1" t="s">
        <v>87</v>
      </c>
      <c r="K53" s="1" t="s">
        <v>58</v>
      </c>
    </row>
    <row r="54" spans="1:11">
      <c r="A54" s="23" t="s">
        <v>228</v>
      </c>
      <c r="B54" s="25">
        <v>46362</v>
      </c>
      <c r="C54" s="1" t="s">
        <v>229</v>
      </c>
      <c r="D54" s="1" t="s">
        <v>68</v>
      </c>
      <c r="E54" s="1">
        <v>2</v>
      </c>
      <c r="F54" s="1">
        <v>32000</v>
      </c>
      <c r="G54" s="1" t="s">
        <v>230</v>
      </c>
      <c r="H54" s="1">
        <v>0</v>
      </c>
      <c r="I54" s="1">
        <v>3500</v>
      </c>
      <c r="J54" s="1" t="s">
        <v>101</v>
      </c>
      <c r="K54" s="1" t="s">
        <v>65</v>
      </c>
    </row>
    <row r="55" spans="1:11">
      <c r="A55" s="24" t="s">
        <v>231</v>
      </c>
      <c r="B55" s="25">
        <v>46046</v>
      </c>
      <c r="C55" s="1" t="s">
        <v>151</v>
      </c>
      <c r="D55" s="1" t="s">
        <v>143</v>
      </c>
      <c r="E55" s="1">
        <v>10</v>
      </c>
      <c r="F55" s="1">
        <v>18000</v>
      </c>
      <c r="G55" s="1" t="s">
        <v>232</v>
      </c>
      <c r="H55" s="1" t="s">
        <v>63</v>
      </c>
      <c r="I55" s="1">
        <v>3500</v>
      </c>
      <c r="J55" s="1" t="s">
        <v>51</v>
      </c>
      <c r="K55" s="1" t="s">
        <v>52</v>
      </c>
    </row>
    <row r="56" spans="1:11">
      <c r="A56" s="23" t="s">
        <v>233</v>
      </c>
      <c r="B56" s="25">
        <v>46219</v>
      </c>
      <c r="C56" s="1" t="s">
        <v>234</v>
      </c>
      <c r="D56" s="1" t="s">
        <v>95</v>
      </c>
      <c r="E56" s="1">
        <v>4</v>
      </c>
      <c r="F56" s="1">
        <v>24000</v>
      </c>
      <c r="G56" s="1" t="s">
        <v>235</v>
      </c>
      <c r="H56" s="1">
        <v>0</v>
      </c>
      <c r="I56" s="1">
        <v>2500</v>
      </c>
      <c r="J56" s="1" t="s">
        <v>64</v>
      </c>
      <c r="K56" s="1" t="s">
        <v>72</v>
      </c>
    </row>
    <row r="57" spans="1:11">
      <c r="A57" s="24" t="s">
        <v>236</v>
      </c>
      <c r="B57" s="25">
        <v>46135</v>
      </c>
      <c r="C57" s="1" t="s">
        <v>210</v>
      </c>
      <c r="D57" s="1" t="s">
        <v>91</v>
      </c>
      <c r="E57" s="1">
        <v>9</v>
      </c>
      <c r="F57" s="1">
        <v>110000</v>
      </c>
      <c r="G57" s="1" t="s">
        <v>237</v>
      </c>
      <c r="H57" s="1">
        <v>0</v>
      </c>
      <c r="I57" s="1">
        <v>2500</v>
      </c>
      <c r="J57" s="1" t="s">
        <v>108</v>
      </c>
      <c r="K57" s="1" t="s">
        <v>82</v>
      </c>
    </row>
    <row r="58" spans="1:11">
      <c r="A58" s="23" t="s">
        <v>238</v>
      </c>
      <c r="B58" s="25">
        <v>46260</v>
      </c>
      <c r="C58" s="1" t="s">
        <v>164</v>
      </c>
      <c r="D58" s="1" t="s">
        <v>190</v>
      </c>
      <c r="E58" s="1">
        <v>10</v>
      </c>
      <c r="F58" s="1">
        <v>60000</v>
      </c>
      <c r="G58" s="1" t="s">
        <v>239</v>
      </c>
      <c r="H58" s="1" t="s">
        <v>77</v>
      </c>
      <c r="I58" s="1">
        <v>9000</v>
      </c>
      <c r="J58" s="1" t="s">
        <v>64</v>
      </c>
      <c r="K58" s="1" t="s">
        <v>52</v>
      </c>
    </row>
    <row r="59" spans="1:11">
      <c r="A59" s="24" t="s">
        <v>240</v>
      </c>
      <c r="B59" s="25">
        <v>46281</v>
      </c>
      <c r="C59" s="1" t="s">
        <v>67</v>
      </c>
      <c r="D59" s="1" t="s">
        <v>190</v>
      </c>
      <c r="E59" s="1">
        <v>8</v>
      </c>
      <c r="F59" s="1">
        <v>24000</v>
      </c>
      <c r="G59" s="1" t="s">
        <v>241</v>
      </c>
      <c r="H59" s="1" t="s">
        <v>77</v>
      </c>
      <c r="I59" s="1">
        <v>7000</v>
      </c>
      <c r="J59" s="1" t="s">
        <v>87</v>
      </c>
      <c r="K59" s="1" t="s">
        <v>82</v>
      </c>
    </row>
    <row r="60" spans="1:11">
      <c r="A60" s="23" t="s">
        <v>242</v>
      </c>
      <c r="B60" s="25">
        <v>46349</v>
      </c>
      <c r="C60" s="1" t="s">
        <v>206</v>
      </c>
      <c r="D60" s="1" t="s">
        <v>139</v>
      </c>
      <c r="E60" s="1">
        <v>8</v>
      </c>
      <c r="F60" s="1">
        <v>32000</v>
      </c>
      <c r="G60" s="1" t="s">
        <v>243</v>
      </c>
      <c r="H60" s="1">
        <v>0</v>
      </c>
      <c r="I60" s="1">
        <v>5000</v>
      </c>
      <c r="J60" s="1" t="s">
        <v>101</v>
      </c>
      <c r="K60" s="1" t="s">
        <v>88</v>
      </c>
    </row>
    <row r="61" spans="1:11">
      <c r="A61" s="24" t="s">
        <v>244</v>
      </c>
      <c r="B61" s="25">
        <v>46194</v>
      </c>
      <c r="C61" s="1" t="s">
        <v>245</v>
      </c>
      <c r="D61" s="1" t="s">
        <v>190</v>
      </c>
      <c r="E61" s="1">
        <v>2</v>
      </c>
      <c r="F61" s="1">
        <v>24000</v>
      </c>
      <c r="G61" s="1" t="s">
        <v>246</v>
      </c>
      <c r="H61" s="1" t="s">
        <v>77</v>
      </c>
      <c r="I61" s="1">
        <v>3500</v>
      </c>
      <c r="J61" s="1" t="s">
        <v>51</v>
      </c>
      <c r="K61" s="1" t="s">
        <v>82</v>
      </c>
    </row>
    <row r="62" spans="1:11">
      <c r="A62" s="23" t="s">
        <v>247</v>
      </c>
      <c r="B62" s="25">
        <v>46055</v>
      </c>
      <c r="C62" s="1" t="s">
        <v>248</v>
      </c>
      <c r="D62" s="1" t="s">
        <v>146</v>
      </c>
      <c r="E62" s="1">
        <v>6</v>
      </c>
      <c r="F62" s="1">
        <v>110000</v>
      </c>
      <c r="G62" s="1" t="s">
        <v>249</v>
      </c>
      <c r="H62" s="1">
        <v>0</v>
      </c>
      <c r="I62" s="1">
        <v>7000</v>
      </c>
      <c r="J62" s="1" t="s">
        <v>108</v>
      </c>
      <c r="K62" s="1" t="s">
        <v>58</v>
      </c>
    </row>
    <row r="63" spans="1:11">
      <c r="A63" s="24" t="s">
        <v>250</v>
      </c>
      <c r="B63" s="25">
        <v>46379</v>
      </c>
      <c r="C63" s="1" t="s">
        <v>251</v>
      </c>
      <c r="D63" s="1" t="s">
        <v>55</v>
      </c>
      <c r="E63" s="1">
        <v>7</v>
      </c>
      <c r="F63" s="1">
        <v>110000</v>
      </c>
      <c r="G63" s="1" t="s">
        <v>252</v>
      </c>
      <c r="H63" s="1" t="s">
        <v>70</v>
      </c>
      <c r="I63" s="1">
        <v>5000</v>
      </c>
      <c r="J63" s="1" t="s">
        <v>64</v>
      </c>
      <c r="K63" s="1" t="s">
        <v>72</v>
      </c>
    </row>
    <row r="64" spans="1:11">
      <c r="A64" s="23" t="s">
        <v>253</v>
      </c>
      <c r="B64" s="25">
        <v>46237</v>
      </c>
      <c r="C64" s="1" t="s">
        <v>254</v>
      </c>
      <c r="D64" s="1" t="s">
        <v>220</v>
      </c>
      <c r="E64" s="1">
        <v>12</v>
      </c>
      <c r="F64" s="1">
        <v>32000</v>
      </c>
      <c r="G64" s="1" t="s">
        <v>255</v>
      </c>
      <c r="H64" s="1" t="s">
        <v>70</v>
      </c>
      <c r="I64" s="1">
        <v>7000</v>
      </c>
      <c r="J64" s="1" t="s">
        <v>108</v>
      </c>
      <c r="K64" s="1" t="s">
        <v>65</v>
      </c>
    </row>
    <row r="65" spans="1:11">
      <c r="A65" s="24" t="s">
        <v>256</v>
      </c>
      <c r="B65" s="25">
        <v>46222</v>
      </c>
      <c r="C65" s="1"/>
      <c r="D65" s="1" t="s">
        <v>173</v>
      </c>
      <c r="E65" s="1">
        <v>11</v>
      </c>
      <c r="F65" s="1">
        <v>85000</v>
      </c>
      <c r="G65" s="1" t="s">
        <v>257</v>
      </c>
      <c r="H65" s="1" t="s">
        <v>77</v>
      </c>
      <c r="I65" s="1">
        <v>3500</v>
      </c>
      <c r="J65" s="1" t="s">
        <v>57</v>
      </c>
      <c r="K65" s="1" t="s">
        <v>58</v>
      </c>
    </row>
    <row r="66" spans="1:11">
      <c r="A66" s="23" t="s">
        <v>258</v>
      </c>
      <c r="B66" s="25">
        <v>46036</v>
      </c>
      <c r="C66" s="1" t="s">
        <v>103</v>
      </c>
      <c r="D66" s="1" t="s">
        <v>55</v>
      </c>
      <c r="E66" s="1">
        <v>10</v>
      </c>
      <c r="F66" s="1">
        <v>12000</v>
      </c>
      <c r="G66" s="1" t="s">
        <v>259</v>
      </c>
      <c r="H66" s="1" t="s">
        <v>77</v>
      </c>
      <c r="I66" s="1">
        <v>3500</v>
      </c>
      <c r="J66" s="1" t="s">
        <v>64</v>
      </c>
      <c r="K66" s="1" t="s">
        <v>72</v>
      </c>
    </row>
    <row r="67" spans="1:11">
      <c r="A67" s="24" t="s">
        <v>260</v>
      </c>
      <c r="B67" s="25">
        <v>46116</v>
      </c>
      <c r="C67" s="1" t="s">
        <v>261</v>
      </c>
      <c r="D67" s="1" t="s">
        <v>99</v>
      </c>
      <c r="E67" s="1">
        <v>7</v>
      </c>
      <c r="F67" s="1">
        <v>60000</v>
      </c>
      <c r="G67" s="1" t="s">
        <v>262</v>
      </c>
      <c r="H67" s="1" t="s">
        <v>70</v>
      </c>
      <c r="I67" s="1">
        <v>5000</v>
      </c>
      <c r="J67" s="1" t="s">
        <v>64</v>
      </c>
      <c r="K67" s="1" t="s">
        <v>72</v>
      </c>
    </row>
    <row r="68" spans="1:11">
      <c r="A68" s="23" t="s">
        <v>263</v>
      </c>
      <c r="B68" s="25">
        <v>46165</v>
      </c>
      <c r="C68" s="1" t="s">
        <v>248</v>
      </c>
      <c r="D68" s="1" t="s">
        <v>99</v>
      </c>
      <c r="E68" s="1">
        <v>2</v>
      </c>
      <c r="F68" s="1">
        <v>110000</v>
      </c>
      <c r="G68" s="1" t="s">
        <v>264</v>
      </c>
      <c r="H68" s="1" t="s">
        <v>63</v>
      </c>
      <c r="I68" s="1">
        <v>2500</v>
      </c>
      <c r="J68" s="1" t="s">
        <v>87</v>
      </c>
      <c r="K68" s="1" t="s">
        <v>82</v>
      </c>
    </row>
    <row r="69" spans="1:11">
      <c r="A69" s="24" t="s">
        <v>265</v>
      </c>
      <c r="B69" s="25">
        <v>46355</v>
      </c>
      <c r="C69" s="1" t="s">
        <v>266</v>
      </c>
      <c r="D69" s="1" t="s">
        <v>104</v>
      </c>
      <c r="E69" s="1">
        <v>1</v>
      </c>
      <c r="F69" s="1">
        <v>12000</v>
      </c>
      <c r="G69" s="1" t="s">
        <v>267</v>
      </c>
      <c r="H69" s="1">
        <v>0</v>
      </c>
      <c r="I69" s="1">
        <v>2500</v>
      </c>
      <c r="J69" s="1" t="s">
        <v>57</v>
      </c>
      <c r="K69" s="1" t="s">
        <v>82</v>
      </c>
    </row>
    <row r="70" spans="1:11">
      <c r="A70" s="23" t="s">
        <v>268</v>
      </c>
      <c r="B70" s="25">
        <v>46145</v>
      </c>
      <c r="C70" s="1" t="s">
        <v>172</v>
      </c>
      <c r="D70" s="1" t="s">
        <v>143</v>
      </c>
      <c r="E70" s="1">
        <v>11</v>
      </c>
      <c r="F70" s="1">
        <v>18000</v>
      </c>
      <c r="G70" s="1" t="s">
        <v>269</v>
      </c>
      <c r="H70" s="1">
        <v>0</v>
      </c>
      <c r="I70" s="1">
        <v>7000</v>
      </c>
      <c r="J70" s="1" t="s">
        <v>51</v>
      </c>
      <c r="K70" s="1" t="s">
        <v>88</v>
      </c>
    </row>
    <row r="71" spans="1:11">
      <c r="A71" s="24" t="s">
        <v>270</v>
      </c>
      <c r="B71" s="25">
        <v>46211</v>
      </c>
      <c r="C71" s="1" t="s">
        <v>271</v>
      </c>
      <c r="D71" s="1" t="s">
        <v>272</v>
      </c>
      <c r="E71" s="1">
        <v>10</v>
      </c>
      <c r="F71" s="1">
        <v>18000</v>
      </c>
      <c r="G71" s="1" t="s">
        <v>273</v>
      </c>
      <c r="H71" s="1">
        <v>0</v>
      </c>
      <c r="I71" s="1">
        <v>5000</v>
      </c>
      <c r="J71" s="1" t="s">
        <v>71</v>
      </c>
      <c r="K71" s="1" t="s">
        <v>58</v>
      </c>
    </row>
    <row r="72" spans="1:11">
      <c r="A72" s="23" t="s">
        <v>274</v>
      </c>
      <c r="B72" s="25">
        <v>46036</v>
      </c>
      <c r="C72" s="1" t="s">
        <v>275</v>
      </c>
      <c r="D72" s="1" t="s">
        <v>55</v>
      </c>
      <c r="E72" s="1">
        <v>11</v>
      </c>
      <c r="F72" s="1">
        <v>85000</v>
      </c>
      <c r="G72" s="1" t="s">
        <v>276</v>
      </c>
      <c r="H72" s="1">
        <v>0</v>
      </c>
      <c r="I72" s="1">
        <v>2500</v>
      </c>
      <c r="J72" s="1" t="s">
        <v>57</v>
      </c>
      <c r="K72" s="1" t="s">
        <v>52</v>
      </c>
    </row>
    <row r="73" spans="1:11">
      <c r="A73" s="24" t="s">
        <v>277</v>
      </c>
      <c r="B73" s="25">
        <v>46344</v>
      </c>
      <c r="C73" s="1" t="s">
        <v>151</v>
      </c>
      <c r="D73" s="1" t="s">
        <v>118</v>
      </c>
      <c r="E73" s="1">
        <v>12</v>
      </c>
      <c r="F73" s="1">
        <v>45000</v>
      </c>
      <c r="G73" s="1" t="s">
        <v>278</v>
      </c>
      <c r="H73" s="1" t="s">
        <v>63</v>
      </c>
      <c r="I73" s="1">
        <v>2500</v>
      </c>
      <c r="J73" s="1" t="s">
        <v>64</v>
      </c>
      <c r="K73" s="1" t="s">
        <v>58</v>
      </c>
    </row>
    <row r="74" spans="1:11">
      <c r="A74" s="23" t="s">
        <v>279</v>
      </c>
      <c r="B74" s="25">
        <v>46044</v>
      </c>
      <c r="C74" s="1" t="s">
        <v>203</v>
      </c>
      <c r="D74" s="1" t="s">
        <v>190</v>
      </c>
      <c r="E74" s="1">
        <v>7</v>
      </c>
      <c r="F74" s="1">
        <v>60000</v>
      </c>
      <c r="G74" s="1" t="s">
        <v>280</v>
      </c>
      <c r="H74" s="1" t="s">
        <v>70</v>
      </c>
      <c r="I74" s="1">
        <v>2500</v>
      </c>
      <c r="J74" s="1" t="s">
        <v>64</v>
      </c>
      <c r="K74" s="1" t="s">
        <v>281</v>
      </c>
    </row>
    <row r="75" spans="1:11">
      <c r="A75" s="24" t="s">
        <v>282</v>
      </c>
      <c r="B75" s="25">
        <v>46273</v>
      </c>
      <c r="C75" s="1" t="s">
        <v>121</v>
      </c>
      <c r="D75" s="1" t="s">
        <v>146</v>
      </c>
      <c r="E75" s="1">
        <v>6</v>
      </c>
      <c r="F75" s="1">
        <v>110000</v>
      </c>
      <c r="G75" s="1" t="s">
        <v>283</v>
      </c>
      <c r="H75" s="1" t="s">
        <v>77</v>
      </c>
      <c r="I75" s="1">
        <v>3500</v>
      </c>
      <c r="J75" s="1" t="s">
        <v>51</v>
      </c>
      <c r="K75" s="1" t="s">
        <v>58</v>
      </c>
    </row>
    <row r="76" spans="1:11">
      <c r="A76" s="23" t="s">
        <v>284</v>
      </c>
      <c r="B76" s="25">
        <v>46356</v>
      </c>
      <c r="C76" s="1" t="s">
        <v>90</v>
      </c>
      <c r="D76" s="1" t="s">
        <v>272</v>
      </c>
      <c r="E76" s="1">
        <v>9</v>
      </c>
      <c r="F76" s="1">
        <v>110000</v>
      </c>
      <c r="G76" s="1" t="s">
        <v>285</v>
      </c>
      <c r="H76" s="1" t="s">
        <v>63</v>
      </c>
      <c r="I76" s="1">
        <v>5000</v>
      </c>
      <c r="J76" s="1" t="s">
        <v>87</v>
      </c>
      <c r="K76" s="1" t="s">
        <v>82</v>
      </c>
    </row>
    <row r="77" spans="1:11">
      <c r="A77" s="24" t="s">
        <v>286</v>
      </c>
      <c r="B77" s="25">
        <v>46067</v>
      </c>
      <c r="C77" s="1" t="s">
        <v>206</v>
      </c>
      <c r="D77" s="1" t="s">
        <v>114</v>
      </c>
      <c r="E77" s="1">
        <v>4</v>
      </c>
      <c r="F77" s="1">
        <v>110000</v>
      </c>
      <c r="G77" s="1" t="s">
        <v>287</v>
      </c>
      <c r="H77" s="1" t="s">
        <v>77</v>
      </c>
      <c r="I77" s="1">
        <v>5000</v>
      </c>
      <c r="J77" s="1" t="s">
        <v>71</v>
      </c>
      <c r="K77" s="1" t="s">
        <v>72</v>
      </c>
    </row>
    <row r="78" spans="1:11">
      <c r="A78" s="23" t="s">
        <v>288</v>
      </c>
      <c r="B78" s="25">
        <v>46189</v>
      </c>
      <c r="C78" s="1" t="s">
        <v>289</v>
      </c>
      <c r="D78" s="1" t="s">
        <v>143</v>
      </c>
      <c r="E78" s="1">
        <v>4</v>
      </c>
      <c r="F78" s="1">
        <v>60000</v>
      </c>
      <c r="G78" s="1" t="s">
        <v>290</v>
      </c>
      <c r="H78" s="1" t="s">
        <v>70</v>
      </c>
      <c r="I78" s="1">
        <v>5000</v>
      </c>
      <c r="J78" s="1" t="s">
        <v>57</v>
      </c>
      <c r="K78" s="1" t="s">
        <v>52</v>
      </c>
    </row>
    <row r="79" spans="1:11">
      <c r="A79" s="24" t="s">
        <v>291</v>
      </c>
      <c r="B79" s="25">
        <v>46164</v>
      </c>
      <c r="C79" s="1" t="s">
        <v>60</v>
      </c>
      <c r="D79" s="1" t="s">
        <v>49</v>
      </c>
      <c r="E79" s="1">
        <v>9</v>
      </c>
      <c r="F79" s="1">
        <v>32000</v>
      </c>
      <c r="G79" s="1" t="s">
        <v>292</v>
      </c>
      <c r="H79" s="1" t="s">
        <v>77</v>
      </c>
      <c r="I79" s="1">
        <v>7000</v>
      </c>
      <c r="J79" s="1" t="s">
        <v>57</v>
      </c>
      <c r="K79" s="1" t="s">
        <v>82</v>
      </c>
    </row>
    <row r="80" spans="1:11">
      <c r="A80" s="23" t="s">
        <v>293</v>
      </c>
      <c r="B80" s="25">
        <v>46376</v>
      </c>
      <c r="C80" s="1" t="s">
        <v>294</v>
      </c>
      <c r="D80" s="1" t="s">
        <v>104</v>
      </c>
      <c r="E80" s="1">
        <v>12</v>
      </c>
      <c r="F80" s="1">
        <v>110000</v>
      </c>
      <c r="G80" s="1" t="s">
        <v>295</v>
      </c>
      <c r="H80" s="1">
        <v>0</v>
      </c>
      <c r="I80" s="1">
        <v>2500</v>
      </c>
      <c r="J80" s="1" t="s">
        <v>87</v>
      </c>
      <c r="K80" s="1" t="s">
        <v>82</v>
      </c>
    </row>
    <row r="81" spans="1:11">
      <c r="A81" s="24" t="s">
        <v>296</v>
      </c>
      <c r="B81" s="25">
        <v>46230</v>
      </c>
      <c r="C81" s="1" t="s">
        <v>151</v>
      </c>
      <c r="D81" s="1" t="s">
        <v>80</v>
      </c>
      <c r="E81" s="1">
        <v>11</v>
      </c>
      <c r="F81" s="1">
        <v>60000</v>
      </c>
      <c r="G81" s="1" t="s">
        <v>297</v>
      </c>
      <c r="H81" s="1" t="s">
        <v>63</v>
      </c>
      <c r="I81" s="1">
        <v>5000</v>
      </c>
      <c r="J81" s="1" t="s">
        <v>108</v>
      </c>
      <c r="K81" s="1" t="s">
        <v>52</v>
      </c>
    </row>
    <row r="82" spans="1:11">
      <c r="A82" s="23" t="s">
        <v>298</v>
      </c>
      <c r="B82" s="25">
        <v>46304</v>
      </c>
      <c r="C82" s="1" t="s">
        <v>299</v>
      </c>
      <c r="D82" s="1" t="s">
        <v>75</v>
      </c>
      <c r="E82" s="1">
        <v>12</v>
      </c>
      <c r="F82" s="1">
        <v>110000</v>
      </c>
      <c r="G82" s="1" t="s">
        <v>300</v>
      </c>
      <c r="H82" s="1" t="s">
        <v>70</v>
      </c>
      <c r="I82" s="1">
        <v>3500</v>
      </c>
      <c r="J82" s="1" t="s">
        <v>71</v>
      </c>
      <c r="K82" s="1" t="s">
        <v>52</v>
      </c>
    </row>
    <row r="83" spans="1:11">
      <c r="A83" s="24" t="s">
        <v>301</v>
      </c>
      <c r="B83" s="25">
        <v>46121</v>
      </c>
      <c r="C83" s="1" t="s">
        <v>245</v>
      </c>
      <c r="D83" s="1" t="s">
        <v>118</v>
      </c>
      <c r="E83" s="1">
        <v>12</v>
      </c>
      <c r="F83" s="1">
        <v>24000</v>
      </c>
      <c r="G83" s="1" t="s">
        <v>302</v>
      </c>
      <c r="H83" s="1" t="s">
        <v>77</v>
      </c>
      <c r="I83" s="1">
        <v>5000</v>
      </c>
      <c r="J83" s="1" t="s">
        <v>51</v>
      </c>
      <c r="K83" s="1" t="s">
        <v>58</v>
      </c>
    </row>
    <row r="84" spans="1:11">
      <c r="A84" s="23" t="s">
        <v>303</v>
      </c>
      <c r="B84" s="25">
        <v>46291</v>
      </c>
      <c r="C84" s="1" t="s">
        <v>113</v>
      </c>
      <c r="D84" s="1" t="s">
        <v>80</v>
      </c>
      <c r="E84" s="1">
        <v>2</v>
      </c>
      <c r="F84" s="1">
        <v>32000</v>
      </c>
      <c r="G84" s="1" t="s">
        <v>304</v>
      </c>
      <c r="H84" s="1" t="s">
        <v>70</v>
      </c>
      <c r="I84" s="1">
        <v>3500</v>
      </c>
      <c r="J84" s="1" t="s">
        <v>87</v>
      </c>
      <c r="K84" s="1" t="s">
        <v>65</v>
      </c>
    </row>
    <row r="85" spans="1:11">
      <c r="A85" s="24" t="s">
        <v>305</v>
      </c>
      <c r="B85" s="25">
        <v>46385</v>
      </c>
      <c r="C85" s="1" t="s">
        <v>254</v>
      </c>
      <c r="D85" s="1" t="s">
        <v>110</v>
      </c>
      <c r="E85" s="1">
        <v>5</v>
      </c>
      <c r="F85" s="1">
        <v>12000</v>
      </c>
      <c r="G85" s="1" t="s">
        <v>306</v>
      </c>
      <c r="H85" s="1" t="s">
        <v>63</v>
      </c>
      <c r="I85" s="1">
        <v>5000</v>
      </c>
      <c r="J85" s="1" t="s">
        <v>51</v>
      </c>
      <c r="K85" s="1" t="s">
        <v>82</v>
      </c>
    </row>
    <row r="86" spans="1:11">
      <c r="A86" s="23" t="s">
        <v>307</v>
      </c>
      <c r="B86" s="25">
        <v>46349</v>
      </c>
      <c r="C86" s="1" t="s">
        <v>308</v>
      </c>
      <c r="D86" s="1" t="s">
        <v>118</v>
      </c>
      <c r="E86" s="1">
        <v>1</v>
      </c>
      <c r="F86" s="1">
        <v>45000</v>
      </c>
      <c r="G86" s="1" t="s">
        <v>309</v>
      </c>
      <c r="H86" s="1" t="s">
        <v>77</v>
      </c>
      <c r="I86" s="1">
        <v>5000</v>
      </c>
      <c r="J86" s="1" t="s">
        <v>101</v>
      </c>
      <c r="K86" s="1" t="s">
        <v>65</v>
      </c>
    </row>
    <row r="87" spans="1:11">
      <c r="A87" s="24" t="s">
        <v>310</v>
      </c>
      <c r="B87" s="25">
        <v>46152</v>
      </c>
      <c r="C87" s="1" t="s">
        <v>311</v>
      </c>
      <c r="D87" s="1" t="s">
        <v>118</v>
      </c>
      <c r="E87" s="1">
        <v>2</v>
      </c>
      <c r="F87" s="1">
        <v>85000</v>
      </c>
      <c r="G87" s="1" t="s">
        <v>312</v>
      </c>
      <c r="H87" s="1" t="s">
        <v>63</v>
      </c>
      <c r="I87" s="1">
        <v>2500</v>
      </c>
      <c r="J87" s="1" t="s">
        <v>101</v>
      </c>
      <c r="K87" s="1" t="s">
        <v>82</v>
      </c>
    </row>
    <row r="88" spans="1:11">
      <c r="A88" s="23" t="s">
        <v>313</v>
      </c>
      <c r="B88" s="25">
        <v>46311</v>
      </c>
      <c r="C88" s="1" t="s">
        <v>314</v>
      </c>
      <c r="D88" s="1" t="s">
        <v>127</v>
      </c>
      <c r="E88" s="1">
        <v>4</v>
      </c>
      <c r="F88" s="1">
        <v>18000</v>
      </c>
      <c r="G88" s="1" t="s">
        <v>315</v>
      </c>
      <c r="H88" s="1" t="s">
        <v>77</v>
      </c>
      <c r="I88" s="1">
        <v>9000</v>
      </c>
      <c r="J88" s="1" t="s">
        <v>57</v>
      </c>
      <c r="K88" s="1" t="s">
        <v>58</v>
      </c>
    </row>
    <row r="89" spans="1:11">
      <c r="A89" s="24" t="s">
        <v>316</v>
      </c>
      <c r="B89" s="25">
        <v>46138</v>
      </c>
      <c r="C89" s="1" t="s">
        <v>317</v>
      </c>
      <c r="D89" s="1" t="s">
        <v>95</v>
      </c>
      <c r="E89" s="1">
        <v>8</v>
      </c>
      <c r="F89" s="1">
        <v>110000</v>
      </c>
      <c r="G89" s="1" t="s">
        <v>318</v>
      </c>
      <c r="H89" s="1" t="s">
        <v>63</v>
      </c>
      <c r="I89" s="1">
        <v>7000</v>
      </c>
      <c r="J89" s="1" t="s">
        <v>87</v>
      </c>
      <c r="K89" s="1" t="s">
        <v>58</v>
      </c>
    </row>
    <row r="90" spans="1:11">
      <c r="A90" s="23" t="s">
        <v>319</v>
      </c>
      <c r="B90" s="25">
        <v>46340</v>
      </c>
      <c r="C90" s="1" t="s">
        <v>320</v>
      </c>
      <c r="D90" s="1" t="s">
        <v>272</v>
      </c>
      <c r="E90" s="1">
        <v>12</v>
      </c>
      <c r="F90" s="1">
        <v>18000</v>
      </c>
      <c r="G90" s="1" t="s">
        <v>321</v>
      </c>
      <c r="H90" s="1">
        <v>0</v>
      </c>
      <c r="I90" s="1">
        <v>3500</v>
      </c>
      <c r="J90" s="1"/>
      <c r="K90" s="1" t="s">
        <v>52</v>
      </c>
    </row>
    <row r="91" spans="1:11">
      <c r="A91" s="24" t="s">
        <v>322</v>
      </c>
      <c r="B91" s="25">
        <v>46064</v>
      </c>
      <c r="C91" s="1" t="s">
        <v>323</v>
      </c>
      <c r="D91" s="1" t="s">
        <v>85</v>
      </c>
      <c r="E91" s="1">
        <v>3</v>
      </c>
      <c r="F91" s="1">
        <v>18000</v>
      </c>
      <c r="G91" s="1" t="s">
        <v>324</v>
      </c>
      <c r="H91" s="1" t="s">
        <v>77</v>
      </c>
      <c r="I91" s="1">
        <v>7000</v>
      </c>
      <c r="J91" s="1" t="s">
        <v>51</v>
      </c>
      <c r="K91" s="1" t="s">
        <v>58</v>
      </c>
    </row>
    <row r="92" spans="1:11">
      <c r="A92" s="23" t="s">
        <v>325</v>
      </c>
      <c r="B92" s="25">
        <v>46263</v>
      </c>
      <c r="C92" s="1" t="s">
        <v>326</v>
      </c>
      <c r="D92" s="1" t="s">
        <v>161</v>
      </c>
      <c r="E92" s="1">
        <v>4</v>
      </c>
      <c r="F92" s="1">
        <v>45000</v>
      </c>
      <c r="G92" s="1" t="s">
        <v>327</v>
      </c>
      <c r="H92" s="1" t="s">
        <v>77</v>
      </c>
      <c r="I92" s="1">
        <v>2500</v>
      </c>
      <c r="J92" s="1" t="s">
        <v>51</v>
      </c>
      <c r="K92" s="1" t="s">
        <v>82</v>
      </c>
    </row>
    <row r="93" spans="1:11">
      <c r="A93" s="24" t="s">
        <v>328</v>
      </c>
      <c r="B93" s="25">
        <v>46158</v>
      </c>
      <c r="C93" s="1" t="s">
        <v>329</v>
      </c>
      <c r="D93" s="1" t="s">
        <v>173</v>
      </c>
      <c r="E93" s="1">
        <v>4</v>
      </c>
      <c r="F93" s="1">
        <v>85000</v>
      </c>
      <c r="G93" s="1" t="s">
        <v>330</v>
      </c>
      <c r="H93" s="1">
        <v>0</v>
      </c>
      <c r="I93" s="1">
        <v>3500</v>
      </c>
      <c r="J93" s="1" t="s">
        <v>87</v>
      </c>
      <c r="K93" s="1" t="s">
        <v>82</v>
      </c>
    </row>
    <row r="94" spans="1:11">
      <c r="A94" s="23" t="s">
        <v>331</v>
      </c>
      <c r="B94" s="25">
        <v>46059</v>
      </c>
      <c r="C94" s="1" t="s">
        <v>320</v>
      </c>
      <c r="D94" s="1" t="s">
        <v>130</v>
      </c>
      <c r="E94" s="1">
        <v>5</v>
      </c>
      <c r="F94" s="1">
        <v>45000</v>
      </c>
      <c r="G94" s="1" t="s">
        <v>332</v>
      </c>
      <c r="H94" s="1" t="s">
        <v>77</v>
      </c>
      <c r="I94" s="1">
        <v>5000</v>
      </c>
      <c r="J94" s="1" t="s">
        <v>51</v>
      </c>
      <c r="K94" s="1" t="s">
        <v>72</v>
      </c>
    </row>
    <row r="95" spans="1:11">
      <c r="A95" s="24" t="s">
        <v>333</v>
      </c>
      <c r="B95" s="25">
        <v>46162</v>
      </c>
      <c r="C95" s="1" t="s">
        <v>334</v>
      </c>
      <c r="D95" s="1" t="s">
        <v>190</v>
      </c>
      <c r="E95" s="1">
        <v>8</v>
      </c>
      <c r="F95" s="1">
        <v>110000</v>
      </c>
      <c r="G95" s="1" t="s">
        <v>335</v>
      </c>
      <c r="H95" s="1">
        <v>0</v>
      </c>
      <c r="I95" s="1">
        <v>7000</v>
      </c>
      <c r="J95" s="1" t="s">
        <v>51</v>
      </c>
      <c r="K95" s="1" t="s">
        <v>88</v>
      </c>
    </row>
    <row r="96" spans="1:11">
      <c r="A96" s="23" t="s">
        <v>336</v>
      </c>
      <c r="B96" s="25">
        <v>46332</v>
      </c>
      <c r="C96" s="1" t="s">
        <v>337</v>
      </c>
      <c r="D96" s="1" t="s">
        <v>49</v>
      </c>
      <c r="E96" s="1">
        <v>2</v>
      </c>
      <c r="F96" s="1">
        <v>32000</v>
      </c>
      <c r="G96" s="1" t="s">
        <v>338</v>
      </c>
      <c r="H96" s="1" t="s">
        <v>63</v>
      </c>
      <c r="I96" s="1">
        <v>9000</v>
      </c>
      <c r="J96" s="1" t="s">
        <v>71</v>
      </c>
      <c r="K96" s="1" t="s">
        <v>52</v>
      </c>
    </row>
    <row r="97" spans="1:11">
      <c r="A97" s="24" t="s">
        <v>339</v>
      </c>
      <c r="B97" s="25">
        <v>46160</v>
      </c>
      <c r="C97" s="1" t="s">
        <v>142</v>
      </c>
      <c r="D97" s="1" t="s">
        <v>161</v>
      </c>
      <c r="E97" s="1">
        <v>3</v>
      </c>
      <c r="F97" s="1">
        <v>110000</v>
      </c>
      <c r="G97" s="1" t="s">
        <v>340</v>
      </c>
      <c r="H97" s="1" t="s">
        <v>77</v>
      </c>
      <c r="I97" s="1">
        <v>5000</v>
      </c>
      <c r="J97" s="1" t="s">
        <v>101</v>
      </c>
      <c r="K97" s="1" t="s">
        <v>58</v>
      </c>
    </row>
    <row r="98" spans="1:11">
      <c r="A98" s="23" t="s">
        <v>341</v>
      </c>
      <c r="B98" s="25">
        <v>46246</v>
      </c>
      <c r="C98" s="1" t="s">
        <v>308</v>
      </c>
      <c r="D98" s="1" t="s">
        <v>127</v>
      </c>
      <c r="E98" s="1">
        <v>8</v>
      </c>
      <c r="F98" s="1">
        <v>60000</v>
      </c>
      <c r="G98" s="1" t="s">
        <v>342</v>
      </c>
      <c r="H98" s="1" t="s">
        <v>70</v>
      </c>
      <c r="I98" s="1">
        <v>2500</v>
      </c>
      <c r="J98" s="1" t="s">
        <v>64</v>
      </c>
      <c r="K98" s="1" t="s">
        <v>82</v>
      </c>
    </row>
    <row r="99" spans="1:11">
      <c r="A99" s="24" t="s">
        <v>343</v>
      </c>
      <c r="B99" s="25">
        <v>46191</v>
      </c>
      <c r="C99" s="1" t="s">
        <v>154</v>
      </c>
      <c r="D99" s="1" t="s">
        <v>91</v>
      </c>
      <c r="E99" s="1">
        <v>8</v>
      </c>
      <c r="F99" s="1">
        <v>45000</v>
      </c>
      <c r="G99" s="1" t="s">
        <v>344</v>
      </c>
      <c r="H99" s="1" t="s">
        <v>77</v>
      </c>
      <c r="I99" s="1">
        <v>9000</v>
      </c>
      <c r="J99" s="1" t="s">
        <v>71</v>
      </c>
      <c r="K99" s="1" t="s">
        <v>72</v>
      </c>
    </row>
    <row r="100" spans="1:11">
      <c r="A100" s="23" t="s">
        <v>345</v>
      </c>
      <c r="B100" s="25">
        <v>46068</v>
      </c>
      <c r="C100" s="1" t="s">
        <v>245</v>
      </c>
      <c r="D100" s="1" t="s">
        <v>99</v>
      </c>
      <c r="E100" s="1">
        <v>6</v>
      </c>
      <c r="F100" s="1">
        <v>18000</v>
      </c>
      <c r="G100" s="1" t="s">
        <v>346</v>
      </c>
      <c r="H100" s="1" t="s">
        <v>77</v>
      </c>
      <c r="I100" s="1">
        <v>9000</v>
      </c>
      <c r="J100" s="1" t="s">
        <v>64</v>
      </c>
      <c r="K100" s="1" t="s">
        <v>65</v>
      </c>
    </row>
    <row r="101" spans="1:11">
      <c r="A101" s="24" t="s">
        <v>347</v>
      </c>
      <c r="B101" s="25">
        <v>46359</v>
      </c>
      <c r="C101" s="1" t="s">
        <v>348</v>
      </c>
      <c r="D101" s="1" t="s">
        <v>114</v>
      </c>
      <c r="E101" s="1">
        <v>7</v>
      </c>
      <c r="F101" s="1">
        <v>12000</v>
      </c>
      <c r="G101" s="1" t="s">
        <v>349</v>
      </c>
      <c r="H101" s="1" t="s">
        <v>70</v>
      </c>
      <c r="I101" s="1">
        <v>9000</v>
      </c>
      <c r="J101" s="1" t="s">
        <v>64</v>
      </c>
      <c r="K101" s="1" t="s">
        <v>72</v>
      </c>
    </row>
    <row r="102" spans="1:11">
      <c r="A102" s="23" t="s">
        <v>350</v>
      </c>
      <c r="B102" s="25">
        <v>46343</v>
      </c>
      <c r="C102" s="1" t="s">
        <v>189</v>
      </c>
      <c r="D102" s="1" t="s">
        <v>161</v>
      </c>
      <c r="E102" s="1">
        <v>4</v>
      </c>
      <c r="F102" s="1">
        <v>45000</v>
      </c>
      <c r="G102" s="1" t="s">
        <v>351</v>
      </c>
      <c r="H102" s="1" t="s">
        <v>70</v>
      </c>
      <c r="I102" s="1">
        <v>7000</v>
      </c>
      <c r="J102" s="1" t="s">
        <v>51</v>
      </c>
      <c r="K102" s="1" t="s">
        <v>72</v>
      </c>
    </row>
    <row r="103" spans="1:11">
      <c r="A103" s="24" t="s">
        <v>352</v>
      </c>
      <c r="B103" s="25">
        <v>46085</v>
      </c>
      <c r="C103" s="1" t="s">
        <v>353</v>
      </c>
      <c r="D103" s="1"/>
      <c r="E103" s="1">
        <v>10</v>
      </c>
      <c r="F103" s="1">
        <v>32000</v>
      </c>
      <c r="G103" s="1" t="s">
        <v>354</v>
      </c>
      <c r="H103" s="1" t="s">
        <v>70</v>
      </c>
      <c r="I103" s="1">
        <v>9000</v>
      </c>
      <c r="J103" s="1" t="s">
        <v>71</v>
      </c>
      <c r="K103" s="1" t="s">
        <v>58</v>
      </c>
    </row>
    <row r="104" spans="1:11">
      <c r="A104" s="23" t="s">
        <v>355</v>
      </c>
      <c r="B104" s="25">
        <v>46231</v>
      </c>
      <c r="C104" s="1" t="s">
        <v>54</v>
      </c>
      <c r="D104" s="1" t="s">
        <v>85</v>
      </c>
      <c r="E104" s="1">
        <v>2</v>
      </c>
      <c r="F104" s="1">
        <v>110000</v>
      </c>
      <c r="G104" s="1" t="s">
        <v>356</v>
      </c>
      <c r="H104" s="1">
        <v>0</v>
      </c>
      <c r="I104" s="1">
        <v>7000</v>
      </c>
      <c r="J104" s="1" t="s">
        <v>51</v>
      </c>
      <c r="K104" s="1" t="s">
        <v>88</v>
      </c>
    </row>
    <row r="105" spans="1:11">
      <c r="A105" s="24" t="s">
        <v>357</v>
      </c>
      <c r="B105" s="25">
        <v>46283</v>
      </c>
      <c r="C105" s="1" t="s">
        <v>90</v>
      </c>
      <c r="D105" s="1" t="s">
        <v>146</v>
      </c>
      <c r="E105" s="1">
        <v>8</v>
      </c>
      <c r="F105" s="1">
        <v>110000</v>
      </c>
      <c r="G105" s="1" t="s">
        <v>358</v>
      </c>
      <c r="H105" s="1" t="s">
        <v>63</v>
      </c>
      <c r="I105" s="1">
        <v>3500</v>
      </c>
      <c r="J105" s="1" t="s">
        <v>108</v>
      </c>
      <c r="K105" s="1" t="s">
        <v>82</v>
      </c>
    </row>
    <row r="106" spans="1:11">
      <c r="A106" s="23" t="s">
        <v>359</v>
      </c>
      <c r="B106" s="25">
        <v>46329</v>
      </c>
      <c r="C106" s="1" t="s">
        <v>360</v>
      </c>
      <c r="D106" s="1" t="s">
        <v>220</v>
      </c>
      <c r="E106" s="1">
        <v>3</v>
      </c>
      <c r="F106" s="1">
        <v>18000</v>
      </c>
      <c r="G106" s="1" t="s">
        <v>361</v>
      </c>
      <c r="H106" s="1" t="s">
        <v>77</v>
      </c>
      <c r="I106" s="1">
        <v>5000</v>
      </c>
      <c r="J106" s="1" t="s">
        <v>64</v>
      </c>
      <c r="K106" s="1" t="s">
        <v>58</v>
      </c>
    </row>
    <row r="107" spans="1:11">
      <c r="A107" s="24" t="s">
        <v>362</v>
      </c>
      <c r="B107" s="25">
        <v>46159</v>
      </c>
      <c r="C107" s="1" t="s">
        <v>216</v>
      </c>
      <c r="D107" s="1" t="s">
        <v>80</v>
      </c>
      <c r="E107" s="1">
        <v>12</v>
      </c>
      <c r="F107" s="1">
        <v>45000</v>
      </c>
      <c r="G107" s="1" t="s">
        <v>363</v>
      </c>
      <c r="H107" s="1" t="s">
        <v>63</v>
      </c>
      <c r="I107" s="1">
        <v>7000</v>
      </c>
      <c r="J107" s="1" t="s">
        <v>64</v>
      </c>
      <c r="K107" s="1" t="s">
        <v>82</v>
      </c>
    </row>
    <row r="108" spans="1:11">
      <c r="A108" s="23" t="s">
        <v>364</v>
      </c>
      <c r="B108" s="25">
        <v>46251</v>
      </c>
      <c r="C108" s="1" t="s">
        <v>254</v>
      </c>
      <c r="D108" s="1" t="s">
        <v>143</v>
      </c>
      <c r="E108" s="1">
        <v>6</v>
      </c>
      <c r="F108" s="1">
        <v>60000</v>
      </c>
      <c r="G108" s="1" t="s">
        <v>365</v>
      </c>
      <c r="H108" s="1" t="s">
        <v>63</v>
      </c>
      <c r="I108" s="1">
        <v>7000</v>
      </c>
      <c r="J108" s="1" t="s">
        <v>108</v>
      </c>
      <c r="K108" s="1" t="s">
        <v>88</v>
      </c>
    </row>
    <row r="109" spans="1:11">
      <c r="A109" s="24" t="s">
        <v>366</v>
      </c>
      <c r="B109" s="25">
        <v>46119</v>
      </c>
      <c r="C109" s="1" t="s">
        <v>198</v>
      </c>
      <c r="D109" s="1" t="s">
        <v>55</v>
      </c>
      <c r="E109" s="1">
        <v>7</v>
      </c>
      <c r="F109" s="1">
        <v>32000</v>
      </c>
      <c r="G109" s="1" t="s">
        <v>367</v>
      </c>
      <c r="H109" s="1" t="s">
        <v>77</v>
      </c>
      <c r="I109" s="1">
        <v>2500</v>
      </c>
      <c r="J109" s="1" t="s">
        <v>87</v>
      </c>
      <c r="K109" s="1" t="s">
        <v>52</v>
      </c>
    </row>
    <row r="110" spans="1:11">
      <c r="A110" s="23" t="s">
        <v>368</v>
      </c>
      <c r="B110" s="25">
        <v>46265</v>
      </c>
      <c r="C110" s="1" t="s">
        <v>369</v>
      </c>
      <c r="D110" s="1" t="s">
        <v>95</v>
      </c>
      <c r="E110" s="1">
        <v>11</v>
      </c>
      <c r="F110" s="1">
        <v>24000</v>
      </c>
      <c r="G110" s="1" t="s">
        <v>370</v>
      </c>
      <c r="H110" s="1">
        <v>0</v>
      </c>
      <c r="I110" s="1">
        <v>3500</v>
      </c>
      <c r="J110" s="1" t="s">
        <v>57</v>
      </c>
      <c r="K110" s="1" t="s">
        <v>58</v>
      </c>
    </row>
    <row r="111" spans="1:11">
      <c r="A111" s="24" t="s">
        <v>371</v>
      </c>
      <c r="B111" s="25">
        <v>46192</v>
      </c>
      <c r="C111" s="1" t="s">
        <v>176</v>
      </c>
      <c r="D111" s="1" t="s">
        <v>114</v>
      </c>
      <c r="E111" s="1">
        <v>2</v>
      </c>
      <c r="F111" s="1">
        <v>110000</v>
      </c>
      <c r="G111" s="1" t="s">
        <v>372</v>
      </c>
      <c r="H111" s="1">
        <v>0</v>
      </c>
      <c r="I111" s="1">
        <v>7000</v>
      </c>
      <c r="J111" s="1" t="s">
        <v>64</v>
      </c>
      <c r="K111" s="1" t="s">
        <v>52</v>
      </c>
    </row>
    <row r="112" spans="1:11">
      <c r="A112" s="23" t="s">
        <v>373</v>
      </c>
      <c r="B112" s="25">
        <v>46102</v>
      </c>
      <c r="C112" s="1" t="s">
        <v>138</v>
      </c>
      <c r="D112" s="1" t="s">
        <v>143</v>
      </c>
      <c r="E112" s="1">
        <v>5</v>
      </c>
      <c r="F112" s="1">
        <v>60000</v>
      </c>
      <c r="G112" s="1" t="s">
        <v>374</v>
      </c>
      <c r="H112" s="1" t="s">
        <v>77</v>
      </c>
      <c r="I112" s="1">
        <v>2500</v>
      </c>
      <c r="J112" s="1" t="s">
        <v>64</v>
      </c>
      <c r="K112" s="1" t="s">
        <v>88</v>
      </c>
    </row>
    <row r="113" spans="1:11">
      <c r="A113" s="24" t="s">
        <v>375</v>
      </c>
      <c r="B113" s="25">
        <v>46368</v>
      </c>
      <c r="C113" s="1" t="s">
        <v>254</v>
      </c>
      <c r="D113" s="1" t="s">
        <v>95</v>
      </c>
      <c r="E113" s="1">
        <v>6</v>
      </c>
      <c r="F113" s="1">
        <v>110000</v>
      </c>
      <c r="G113" s="1" t="s">
        <v>376</v>
      </c>
      <c r="H113" s="1">
        <v>0</v>
      </c>
      <c r="I113" s="1">
        <v>9000</v>
      </c>
      <c r="J113" s="1" t="s">
        <v>71</v>
      </c>
      <c r="K113" s="1" t="s">
        <v>82</v>
      </c>
    </row>
    <row r="114" spans="1:11">
      <c r="A114" s="23" t="s">
        <v>377</v>
      </c>
      <c r="B114" s="25">
        <v>46346</v>
      </c>
      <c r="C114" s="1" t="s">
        <v>179</v>
      </c>
      <c r="D114" s="1" t="s">
        <v>85</v>
      </c>
      <c r="E114" s="1">
        <v>12</v>
      </c>
      <c r="F114" s="1">
        <v>18000</v>
      </c>
      <c r="G114" s="1" t="s">
        <v>378</v>
      </c>
      <c r="H114" s="1">
        <v>0</v>
      </c>
      <c r="I114" s="1">
        <v>2500</v>
      </c>
      <c r="J114" s="1" t="s">
        <v>108</v>
      </c>
      <c r="K114" s="1" t="s">
        <v>82</v>
      </c>
    </row>
    <row r="115" spans="1:11">
      <c r="A115" s="24" t="s">
        <v>379</v>
      </c>
      <c r="B115" s="25">
        <v>46378</v>
      </c>
      <c r="C115" s="1" t="s">
        <v>314</v>
      </c>
      <c r="D115" s="1" t="s">
        <v>49</v>
      </c>
      <c r="E115" s="1">
        <v>1</v>
      </c>
      <c r="F115" s="1">
        <v>60000</v>
      </c>
      <c r="G115" s="1" t="s">
        <v>380</v>
      </c>
      <c r="H115" s="1" t="s">
        <v>70</v>
      </c>
      <c r="I115" s="1">
        <v>5000</v>
      </c>
      <c r="J115" s="1" t="s">
        <v>87</v>
      </c>
      <c r="K115" s="1" t="s">
        <v>72</v>
      </c>
    </row>
    <row r="116" spans="1:11">
      <c r="A116" s="23" t="s">
        <v>381</v>
      </c>
      <c r="B116" s="25">
        <v>46097</v>
      </c>
      <c r="C116" s="1" t="s">
        <v>151</v>
      </c>
      <c r="D116" s="1" t="s">
        <v>139</v>
      </c>
      <c r="E116" s="1">
        <v>7</v>
      </c>
      <c r="F116" s="1">
        <v>24000</v>
      </c>
      <c r="G116" s="1" t="s">
        <v>382</v>
      </c>
      <c r="H116" s="1">
        <v>0</v>
      </c>
      <c r="I116" s="1">
        <v>9000</v>
      </c>
      <c r="J116" s="1" t="s">
        <v>64</v>
      </c>
      <c r="K116" s="1" t="s">
        <v>72</v>
      </c>
    </row>
    <row r="117" spans="1:11">
      <c r="A117" s="24" t="s">
        <v>383</v>
      </c>
      <c r="B117" s="25">
        <v>46340</v>
      </c>
      <c r="C117" s="1" t="s">
        <v>198</v>
      </c>
      <c r="D117" s="1" t="s">
        <v>143</v>
      </c>
      <c r="E117" s="1">
        <v>10</v>
      </c>
      <c r="F117" s="1">
        <v>24000</v>
      </c>
      <c r="G117" s="1" t="s">
        <v>384</v>
      </c>
      <c r="H117" s="1" t="s">
        <v>70</v>
      </c>
      <c r="I117" s="1">
        <v>7000</v>
      </c>
      <c r="J117" s="1" t="s">
        <v>87</v>
      </c>
      <c r="K117" s="1" t="s">
        <v>52</v>
      </c>
    </row>
    <row r="118" spans="1:11">
      <c r="A118" s="23" t="s">
        <v>385</v>
      </c>
      <c r="B118" s="25">
        <v>46027</v>
      </c>
      <c r="C118" s="1" t="s">
        <v>94</v>
      </c>
      <c r="D118" s="1" t="s">
        <v>80</v>
      </c>
      <c r="E118" s="1">
        <v>11</v>
      </c>
      <c r="F118" s="1">
        <v>24000</v>
      </c>
      <c r="G118" s="1" t="s">
        <v>386</v>
      </c>
      <c r="H118" s="1" t="s">
        <v>70</v>
      </c>
      <c r="I118" s="1">
        <v>9000</v>
      </c>
      <c r="J118" s="1" t="s">
        <v>87</v>
      </c>
      <c r="K118" s="1" t="s">
        <v>52</v>
      </c>
    </row>
    <row r="119" spans="1:11">
      <c r="A119" s="24" t="s">
        <v>387</v>
      </c>
      <c r="B119" s="25">
        <v>46240</v>
      </c>
      <c r="C119" s="1" t="s">
        <v>337</v>
      </c>
      <c r="D119" s="1" t="s">
        <v>114</v>
      </c>
      <c r="E119" s="1">
        <v>5</v>
      </c>
      <c r="F119" s="1">
        <v>32000</v>
      </c>
      <c r="G119" s="1" t="s">
        <v>388</v>
      </c>
      <c r="H119" s="1" t="s">
        <v>77</v>
      </c>
      <c r="I119" s="1">
        <v>2500</v>
      </c>
      <c r="J119" s="1" t="s">
        <v>101</v>
      </c>
      <c r="K119" s="1" t="s">
        <v>72</v>
      </c>
    </row>
    <row r="120" spans="1:11">
      <c r="A120" s="23" t="s">
        <v>389</v>
      </c>
      <c r="B120" s="25">
        <v>46315</v>
      </c>
      <c r="C120" s="1" t="s">
        <v>74</v>
      </c>
      <c r="D120" s="1" t="s">
        <v>55</v>
      </c>
      <c r="E120" s="1">
        <v>5</v>
      </c>
      <c r="F120" s="1">
        <v>45000</v>
      </c>
      <c r="G120" s="1" t="s">
        <v>390</v>
      </c>
      <c r="H120" s="1" t="s">
        <v>77</v>
      </c>
      <c r="I120" s="1">
        <v>5000</v>
      </c>
      <c r="J120" s="1" t="s">
        <v>71</v>
      </c>
      <c r="K120" s="1" t="s">
        <v>58</v>
      </c>
    </row>
    <row r="121" spans="1:11">
      <c r="A121" s="24" t="s">
        <v>391</v>
      </c>
      <c r="B121" s="25">
        <v>46374</v>
      </c>
      <c r="C121" s="1" t="s">
        <v>261</v>
      </c>
      <c r="D121" s="1" t="s">
        <v>272</v>
      </c>
      <c r="E121" s="1">
        <v>12</v>
      </c>
      <c r="F121" s="1">
        <v>110000</v>
      </c>
      <c r="G121" s="1" t="s">
        <v>392</v>
      </c>
      <c r="H121" s="1" t="s">
        <v>70</v>
      </c>
      <c r="I121" s="1">
        <v>3500</v>
      </c>
      <c r="J121" s="1" t="s">
        <v>57</v>
      </c>
      <c r="K121" s="1" t="s">
        <v>88</v>
      </c>
    </row>
    <row r="122" spans="1:11">
      <c r="A122" s="23" t="s">
        <v>393</v>
      </c>
      <c r="B122" s="25">
        <v>46135</v>
      </c>
      <c r="C122" s="1" t="s">
        <v>394</v>
      </c>
      <c r="D122" s="1" t="s">
        <v>272</v>
      </c>
      <c r="E122" s="1">
        <v>5</v>
      </c>
      <c r="F122" s="1">
        <v>24000</v>
      </c>
      <c r="G122" s="1" t="s">
        <v>395</v>
      </c>
      <c r="H122" s="1">
        <v>0</v>
      </c>
      <c r="I122" s="1">
        <v>5000</v>
      </c>
      <c r="J122" s="1" t="s">
        <v>64</v>
      </c>
      <c r="K122" s="1" t="s">
        <v>72</v>
      </c>
    </row>
    <row r="123" spans="1:11">
      <c r="A123" s="24" t="s">
        <v>396</v>
      </c>
      <c r="B123" s="25">
        <v>46040</v>
      </c>
      <c r="C123" s="1" t="s">
        <v>169</v>
      </c>
      <c r="D123" s="1" t="s">
        <v>75</v>
      </c>
      <c r="E123" s="1">
        <v>12</v>
      </c>
      <c r="F123" s="1">
        <v>24000</v>
      </c>
      <c r="G123" s="1" t="s">
        <v>397</v>
      </c>
      <c r="H123" s="1" t="s">
        <v>70</v>
      </c>
      <c r="I123" s="1">
        <v>5000</v>
      </c>
      <c r="J123" s="1" t="s">
        <v>51</v>
      </c>
      <c r="K123" s="1" t="s">
        <v>72</v>
      </c>
    </row>
    <row r="124" spans="1:11">
      <c r="A124" s="23" t="s">
        <v>398</v>
      </c>
      <c r="B124" s="25">
        <v>46112</v>
      </c>
      <c r="C124" s="1" t="s">
        <v>399</v>
      </c>
      <c r="D124" s="1" t="s">
        <v>110</v>
      </c>
      <c r="E124" s="1">
        <v>9</v>
      </c>
      <c r="F124" s="1">
        <v>60000</v>
      </c>
      <c r="G124" s="1" t="s">
        <v>400</v>
      </c>
      <c r="H124" s="1" t="s">
        <v>70</v>
      </c>
      <c r="I124" s="1">
        <v>3500</v>
      </c>
      <c r="J124" s="1" t="s">
        <v>87</v>
      </c>
      <c r="K124" s="1" t="s">
        <v>72</v>
      </c>
    </row>
    <row r="125" spans="1:11">
      <c r="A125" s="24" t="s">
        <v>401</v>
      </c>
      <c r="B125" s="25">
        <v>46174</v>
      </c>
      <c r="C125" s="1" t="s">
        <v>117</v>
      </c>
      <c r="D125" s="1" t="s">
        <v>118</v>
      </c>
      <c r="E125" s="1">
        <v>8</v>
      </c>
      <c r="F125" s="1">
        <v>18000</v>
      </c>
      <c r="G125" s="1" t="s">
        <v>402</v>
      </c>
      <c r="H125" s="1">
        <v>0</v>
      </c>
      <c r="I125" s="1">
        <v>7000</v>
      </c>
      <c r="J125" s="1" t="s">
        <v>64</v>
      </c>
      <c r="K125" s="1" t="s">
        <v>58</v>
      </c>
    </row>
    <row r="126" spans="1:11">
      <c r="A126" s="23" t="s">
        <v>403</v>
      </c>
      <c r="B126" s="25">
        <v>46210</v>
      </c>
      <c r="C126" s="1" t="s">
        <v>54</v>
      </c>
      <c r="D126" s="1" t="s">
        <v>95</v>
      </c>
      <c r="E126" s="1">
        <v>1</v>
      </c>
      <c r="F126" s="1">
        <v>45000</v>
      </c>
      <c r="G126" s="1" t="s">
        <v>404</v>
      </c>
      <c r="H126" s="1" t="s">
        <v>77</v>
      </c>
      <c r="I126" s="1">
        <v>5000</v>
      </c>
      <c r="J126" s="1" t="s">
        <v>51</v>
      </c>
      <c r="K126" s="1" t="s">
        <v>52</v>
      </c>
    </row>
    <row r="127" spans="1:11">
      <c r="A127" s="24" t="s">
        <v>405</v>
      </c>
      <c r="B127" s="25">
        <v>46367</v>
      </c>
      <c r="C127" s="1" t="s">
        <v>157</v>
      </c>
      <c r="D127" s="1" t="s">
        <v>55</v>
      </c>
      <c r="E127" s="1">
        <v>7</v>
      </c>
      <c r="F127" s="1">
        <v>60000</v>
      </c>
      <c r="G127" s="1" t="s">
        <v>406</v>
      </c>
      <c r="H127" s="1">
        <v>0</v>
      </c>
      <c r="I127" s="1">
        <v>7000</v>
      </c>
      <c r="J127" s="1" t="s">
        <v>71</v>
      </c>
      <c r="K127" s="1" t="s">
        <v>58</v>
      </c>
    </row>
    <row r="128" spans="1:11">
      <c r="A128" s="23" t="s">
        <v>407</v>
      </c>
      <c r="B128" s="25">
        <v>46310</v>
      </c>
      <c r="C128" s="1" t="s">
        <v>408</v>
      </c>
      <c r="D128" s="1" t="s">
        <v>272</v>
      </c>
      <c r="E128" s="1">
        <v>4</v>
      </c>
      <c r="F128" s="1">
        <v>18000</v>
      </c>
      <c r="G128" s="1" t="s">
        <v>409</v>
      </c>
      <c r="H128" s="1" t="s">
        <v>77</v>
      </c>
      <c r="I128" s="1">
        <v>5000</v>
      </c>
      <c r="J128" s="1" t="s">
        <v>51</v>
      </c>
      <c r="K128" s="1" t="s">
        <v>72</v>
      </c>
    </row>
    <row r="129" spans="1:11">
      <c r="A129" s="24" t="s">
        <v>410</v>
      </c>
      <c r="B129" s="25">
        <v>46082</v>
      </c>
      <c r="C129" s="1" t="s">
        <v>411</v>
      </c>
      <c r="D129" s="1" t="s">
        <v>161</v>
      </c>
      <c r="E129" s="1">
        <v>1</v>
      </c>
      <c r="F129" s="1">
        <v>45000</v>
      </c>
      <c r="G129" s="1" t="s">
        <v>412</v>
      </c>
      <c r="H129" s="1">
        <v>0</v>
      </c>
      <c r="I129" s="1">
        <v>2500</v>
      </c>
      <c r="J129" s="1" t="s">
        <v>101</v>
      </c>
      <c r="K129" s="1" t="s">
        <v>58</v>
      </c>
    </row>
    <row r="130" spans="1:11">
      <c r="A130" s="23" t="s">
        <v>413</v>
      </c>
      <c r="B130" s="25">
        <v>46092</v>
      </c>
      <c r="C130" s="1" t="s">
        <v>414</v>
      </c>
      <c r="D130" s="1" t="s">
        <v>114</v>
      </c>
      <c r="E130" s="1">
        <v>6</v>
      </c>
      <c r="F130" s="1">
        <v>85000</v>
      </c>
      <c r="G130" s="1" t="s">
        <v>415</v>
      </c>
      <c r="H130" s="1">
        <v>0</v>
      </c>
      <c r="I130" s="1">
        <v>7000</v>
      </c>
      <c r="J130" s="1" t="s">
        <v>51</v>
      </c>
      <c r="K130" s="1" t="s">
        <v>65</v>
      </c>
    </row>
    <row r="131" spans="1:11">
      <c r="A131" s="24" t="s">
        <v>416</v>
      </c>
      <c r="B131" s="25">
        <v>46273</v>
      </c>
      <c r="C131" s="1" t="s">
        <v>417</v>
      </c>
      <c r="D131" s="1" t="s">
        <v>146</v>
      </c>
      <c r="E131" s="1">
        <v>5</v>
      </c>
      <c r="F131" s="1">
        <v>12000</v>
      </c>
      <c r="G131" s="1" t="s">
        <v>418</v>
      </c>
      <c r="H131" s="1">
        <v>0</v>
      </c>
      <c r="I131" s="1">
        <v>7000</v>
      </c>
      <c r="J131" s="1" t="s">
        <v>108</v>
      </c>
      <c r="K131" s="1" t="s">
        <v>82</v>
      </c>
    </row>
    <row r="132" spans="1:11">
      <c r="A132" s="23" t="s">
        <v>419</v>
      </c>
      <c r="B132" s="25">
        <v>46208</v>
      </c>
      <c r="C132" s="1" t="s">
        <v>176</v>
      </c>
      <c r="D132" s="1" t="s">
        <v>173</v>
      </c>
      <c r="E132" s="1">
        <v>6</v>
      </c>
      <c r="F132" s="1">
        <v>60000</v>
      </c>
      <c r="G132" s="1" t="s">
        <v>420</v>
      </c>
      <c r="H132" s="1" t="s">
        <v>70</v>
      </c>
      <c r="I132" s="1">
        <v>3500</v>
      </c>
      <c r="J132" s="1" t="s">
        <v>71</v>
      </c>
      <c r="K132" s="1" t="s">
        <v>72</v>
      </c>
    </row>
    <row r="133" spans="1:11">
      <c r="A133" s="24" t="s">
        <v>421</v>
      </c>
      <c r="B133" s="25">
        <v>46069</v>
      </c>
      <c r="C133" s="1" t="s">
        <v>160</v>
      </c>
      <c r="D133" s="1" t="s">
        <v>104</v>
      </c>
      <c r="E133" s="1">
        <v>11</v>
      </c>
      <c r="F133" s="1">
        <v>12000</v>
      </c>
      <c r="G133" s="1" t="s">
        <v>422</v>
      </c>
      <c r="H133" s="1" t="s">
        <v>70</v>
      </c>
      <c r="I133" s="1">
        <v>3500</v>
      </c>
      <c r="J133" s="1" t="s">
        <v>101</v>
      </c>
      <c r="K133" s="1" t="s">
        <v>58</v>
      </c>
    </row>
    <row r="134" spans="1:11">
      <c r="A134" s="23" t="s">
        <v>423</v>
      </c>
      <c r="B134" s="25">
        <v>46128</v>
      </c>
      <c r="C134" s="1" t="s">
        <v>266</v>
      </c>
      <c r="D134" s="1" t="s">
        <v>190</v>
      </c>
      <c r="E134" s="1">
        <v>4</v>
      </c>
      <c r="F134" s="1">
        <v>32000</v>
      </c>
      <c r="G134" s="1" t="s">
        <v>424</v>
      </c>
      <c r="H134" s="1">
        <v>0</v>
      </c>
      <c r="I134" s="1">
        <v>5000</v>
      </c>
      <c r="J134" s="1" t="s">
        <v>64</v>
      </c>
      <c r="K134" s="1" t="s">
        <v>82</v>
      </c>
    </row>
    <row r="135" spans="1:11">
      <c r="A135" s="24" t="s">
        <v>425</v>
      </c>
      <c r="B135" s="25">
        <v>46328</v>
      </c>
      <c r="C135" s="1" t="s">
        <v>216</v>
      </c>
      <c r="D135" s="1" t="s">
        <v>99</v>
      </c>
      <c r="E135" s="1">
        <v>3</v>
      </c>
      <c r="F135" s="1">
        <v>24000</v>
      </c>
      <c r="G135" s="1" t="s">
        <v>426</v>
      </c>
      <c r="H135" s="1">
        <v>0</v>
      </c>
      <c r="I135" s="1">
        <v>2500</v>
      </c>
      <c r="J135" s="1" t="s">
        <v>51</v>
      </c>
      <c r="K135" s="1" t="s">
        <v>65</v>
      </c>
    </row>
    <row r="136" spans="1:11">
      <c r="A136" s="23" t="s">
        <v>427</v>
      </c>
      <c r="B136" s="25">
        <v>46090</v>
      </c>
      <c r="C136" s="1" t="s">
        <v>428</v>
      </c>
      <c r="D136" s="1" t="s">
        <v>75</v>
      </c>
      <c r="E136" s="1">
        <v>4</v>
      </c>
      <c r="F136" s="1">
        <v>60000</v>
      </c>
      <c r="G136" s="1" t="s">
        <v>429</v>
      </c>
      <c r="H136" s="1" t="s">
        <v>70</v>
      </c>
      <c r="I136" s="1">
        <v>2500</v>
      </c>
      <c r="J136" s="1" t="s">
        <v>101</v>
      </c>
      <c r="K136" s="1" t="s">
        <v>52</v>
      </c>
    </row>
    <row r="137" spans="1:11">
      <c r="A137" s="24" t="s">
        <v>430</v>
      </c>
      <c r="B137" s="25">
        <v>46238</v>
      </c>
      <c r="C137" s="1" t="s">
        <v>164</v>
      </c>
      <c r="D137" s="1" t="s">
        <v>118</v>
      </c>
      <c r="E137" s="1">
        <v>12</v>
      </c>
      <c r="F137" s="1">
        <v>18000</v>
      </c>
      <c r="G137" s="1" t="s">
        <v>431</v>
      </c>
      <c r="H137" s="1" t="s">
        <v>70</v>
      </c>
      <c r="I137" s="1">
        <v>9000</v>
      </c>
      <c r="J137" s="1" t="s">
        <v>57</v>
      </c>
      <c r="K137" s="1" t="s">
        <v>65</v>
      </c>
    </row>
    <row r="138" spans="1:11">
      <c r="A138" s="23" t="s">
        <v>432</v>
      </c>
      <c r="B138" s="25">
        <v>46254</v>
      </c>
      <c r="C138" s="1" t="s">
        <v>334</v>
      </c>
      <c r="D138" s="1" t="s">
        <v>85</v>
      </c>
      <c r="E138" s="1">
        <v>10</v>
      </c>
      <c r="F138" s="1">
        <v>12000</v>
      </c>
      <c r="G138" s="1" t="s">
        <v>433</v>
      </c>
      <c r="H138" s="1" t="s">
        <v>63</v>
      </c>
      <c r="I138" s="1">
        <v>5000</v>
      </c>
      <c r="J138" s="1" t="s">
        <v>108</v>
      </c>
      <c r="K138" s="1" t="s">
        <v>52</v>
      </c>
    </row>
    <row r="139" spans="1:11">
      <c r="A139" s="24" t="s">
        <v>434</v>
      </c>
      <c r="B139" s="25">
        <v>46038</v>
      </c>
      <c r="C139" s="1" t="s">
        <v>320</v>
      </c>
      <c r="D139" s="1" t="s">
        <v>143</v>
      </c>
      <c r="E139" s="1">
        <v>7</v>
      </c>
      <c r="F139" s="1">
        <v>85000</v>
      </c>
      <c r="G139" s="1" t="s">
        <v>435</v>
      </c>
      <c r="H139" s="1" t="s">
        <v>77</v>
      </c>
      <c r="I139" s="1">
        <v>7000</v>
      </c>
      <c r="J139" s="1" t="s">
        <v>71</v>
      </c>
      <c r="K139" s="1" t="s">
        <v>65</v>
      </c>
    </row>
    <row r="140" spans="1:11">
      <c r="A140" s="23" t="s">
        <v>436</v>
      </c>
      <c r="B140" s="25">
        <v>46187</v>
      </c>
      <c r="C140" s="1" t="s">
        <v>213</v>
      </c>
      <c r="D140" s="1" t="s">
        <v>110</v>
      </c>
      <c r="E140" s="1">
        <v>2</v>
      </c>
      <c r="F140" s="1">
        <v>24000</v>
      </c>
      <c r="G140" s="1" t="s">
        <v>437</v>
      </c>
      <c r="H140" s="1" t="s">
        <v>63</v>
      </c>
      <c r="I140" s="1">
        <v>9000</v>
      </c>
      <c r="J140" s="1" t="s">
        <v>51</v>
      </c>
      <c r="K140" s="1" t="s">
        <v>88</v>
      </c>
    </row>
    <row r="141" spans="1:11">
      <c r="A141" s="24" t="s">
        <v>438</v>
      </c>
      <c r="B141" s="25">
        <v>46218</v>
      </c>
      <c r="C141" s="1" t="s">
        <v>113</v>
      </c>
      <c r="D141" s="1" t="s">
        <v>139</v>
      </c>
      <c r="E141" s="1">
        <v>5</v>
      </c>
      <c r="F141" s="1">
        <v>110000</v>
      </c>
      <c r="G141" s="1" t="s">
        <v>439</v>
      </c>
      <c r="H141" s="1" t="s">
        <v>77</v>
      </c>
      <c r="I141" s="1">
        <v>2500</v>
      </c>
      <c r="J141" s="1" t="s">
        <v>64</v>
      </c>
      <c r="K141" s="1" t="s">
        <v>52</v>
      </c>
    </row>
    <row r="142" spans="1:11">
      <c r="A142" s="23" t="s">
        <v>440</v>
      </c>
      <c r="B142" s="25">
        <v>46081</v>
      </c>
      <c r="C142" s="1" t="s">
        <v>79</v>
      </c>
      <c r="D142" s="1" t="s">
        <v>220</v>
      </c>
      <c r="E142" s="1">
        <v>4</v>
      </c>
      <c r="F142" s="1">
        <v>85000</v>
      </c>
      <c r="G142" s="1" t="s">
        <v>441</v>
      </c>
      <c r="H142" s="1">
        <v>0</v>
      </c>
      <c r="I142" s="1">
        <v>7000</v>
      </c>
      <c r="J142" s="1"/>
      <c r="K142" s="1" t="s">
        <v>72</v>
      </c>
    </row>
    <row r="143" spans="1:11">
      <c r="A143" s="24" t="s">
        <v>442</v>
      </c>
      <c r="B143" s="25">
        <v>46227</v>
      </c>
      <c r="C143" s="1" t="s">
        <v>248</v>
      </c>
      <c r="D143" s="1" t="s">
        <v>220</v>
      </c>
      <c r="E143" s="1">
        <v>2</v>
      </c>
      <c r="F143" s="1">
        <v>60000</v>
      </c>
      <c r="G143" s="1" t="s">
        <v>443</v>
      </c>
      <c r="H143" s="1" t="s">
        <v>70</v>
      </c>
      <c r="I143" s="1">
        <v>5000</v>
      </c>
      <c r="J143" s="1" t="s">
        <v>101</v>
      </c>
      <c r="K143" s="1" t="s">
        <v>52</v>
      </c>
    </row>
    <row r="144" spans="1:11">
      <c r="A144" s="23" t="s">
        <v>444</v>
      </c>
      <c r="B144" s="25">
        <v>46265</v>
      </c>
      <c r="C144" s="1" t="s">
        <v>266</v>
      </c>
      <c r="D144" s="1" t="s">
        <v>127</v>
      </c>
      <c r="E144" s="1">
        <v>2</v>
      </c>
      <c r="F144" s="1">
        <v>18000</v>
      </c>
      <c r="G144" s="1" t="s">
        <v>445</v>
      </c>
      <c r="H144" s="1" t="s">
        <v>70</v>
      </c>
      <c r="I144" s="1">
        <v>3500</v>
      </c>
      <c r="J144" s="1" t="s">
        <v>57</v>
      </c>
      <c r="K144" s="1" t="s">
        <v>65</v>
      </c>
    </row>
    <row r="145" spans="1:11">
      <c r="A145" s="24" t="s">
        <v>446</v>
      </c>
      <c r="B145" s="25">
        <v>46323</v>
      </c>
      <c r="C145" s="1" t="s">
        <v>60</v>
      </c>
      <c r="D145" s="1" t="s">
        <v>190</v>
      </c>
      <c r="E145" s="1">
        <v>6</v>
      </c>
      <c r="F145" s="1">
        <v>18000</v>
      </c>
      <c r="G145" s="1" t="s">
        <v>447</v>
      </c>
      <c r="H145" s="1" t="s">
        <v>77</v>
      </c>
      <c r="I145" s="1">
        <v>2500</v>
      </c>
      <c r="J145" s="1" t="s">
        <v>87</v>
      </c>
      <c r="K145" s="1" t="s">
        <v>58</v>
      </c>
    </row>
    <row r="146" spans="1:11">
      <c r="A146" s="23" t="s">
        <v>448</v>
      </c>
      <c r="B146" s="25">
        <v>46182</v>
      </c>
      <c r="C146" s="1" t="s">
        <v>74</v>
      </c>
      <c r="D146" s="1" t="s">
        <v>118</v>
      </c>
      <c r="E146" s="1">
        <v>10</v>
      </c>
      <c r="F146" s="1">
        <v>32000</v>
      </c>
      <c r="G146" s="1" t="s">
        <v>449</v>
      </c>
      <c r="H146" s="1" t="s">
        <v>77</v>
      </c>
      <c r="I146" s="1">
        <v>3500</v>
      </c>
      <c r="J146" s="1" t="s">
        <v>64</v>
      </c>
      <c r="K146" s="1" t="s">
        <v>65</v>
      </c>
    </row>
    <row r="147" spans="1:11">
      <c r="A147" s="24" t="s">
        <v>450</v>
      </c>
      <c r="B147" s="25">
        <v>46202</v>
      </c>
      <c r="C147" s="1" t="s">
        <v>60</v>
      </c>
      <c r="D147" s="1" t="s">
        <v>75</v>
      </c>
      <c r="E147" s="1">
        <v>2</v>
      </c>
      <c r="F147" s="1">
        <v>45000</v>
      </c>
      <c r="G147" s="1" t="s">
        <v>451</v>
      </c>
      <c r="H147" s="1" t="s">
        <v>77</v>
      </c>
      <c r="I147" s="1">
        <v>9000</v>
      </c>
      <c r="J147" s="1" t="s">
        <v>64</v>
      </c>
      <c r="K147" s="1" t="s">
        <v>58</v>
      </c>
    </row>
    <row r="148" spans="1:11">
      <c r="A148" s="23" t="s">
        <v>452</v>
      </c>
      <c r="B148" s="25">
        <v>46337</v>
      </c>
      <c r="C148" s="1" t="s">
        <v>60</v>
      </c>
      <c r="D148" s="1" t="s">
        <v>49</v>
      </c>
      <c r="E148" s="1">
        <v>10</v>
      </c>
      <c r="F148" s="1">
        <v>45000</v>
      </c>
      <c r="G148" s="1" t="s">
        <v>453</v>
      </c>
      <c r="H148" s="1" t="s">
        <v>70</v>
      </c>
      <c r="I148" s="1">
        <v>5000</v>
      </c>
      <c r="J148" s="1" t="s">
        <v>87</v>
      </c>
      <c r="K148" s="1" t="s">
        <v>88</v>
      </c>
    </row>
    <row r="149" spans="1:11">
      <c r="A149" s="24" t="s">
        <v>454</v>
      </c>
      <c r="B149" s="25">
        <v>46026</v>
      </c>
      <c r="C149" s="1" t="s">
        <v>289</v>
      </c>
      <c r="D149" s="1" t="s">
        <v>110</v>
      </c>
      <c r="E149" s="1">
        <v>10</v>
      </c>
      <c r="F149" s="1">
        <v>85000</v>
      </c>
      <c r="G149" s="1" t="s">
        <v>455</v>
      </c>
      <c r="H149" s="1">
        <v>0</v>
      </c>
      <c r="I149" s="1">
        <v>2500</v>
      </c>
      <c r="J149" s="1" t="s">
        <v>51</v>
      </c>
      <c r="K149" s="1" t="s">
        <v>58</v>
      </c>
    </row>
    <row r="150" spans="1:11">
      <c r="A150" s="23" t="s">
        <v>456</v>
      </c>
      <c r="B150" s="25">
        <v>46133</v>
      </c>
      <c r="C150" s="1" t="s">
        <v>369</v>
      </c>
      <c r="D150" s="1" t="s">
        <v>146</v>
      </c>
      <c r="E150" s="1">
        <v>8</v>
      </c>
      <c r="F150" s="1">
        <v>60000</v>
      </c>
      <c r="G150" s="1" t="s">
        <v>457</v>
      </c>
      <c r="H150" s="1" t="s">
        <v>70</v>
      </c>
      <c r="I150" s="1">
        <v>5000</v>
      </c>
      <c r="J150" s="1" t="s">
        <v>64</v>
      </c>
      <c r="K150" s="1" t="s">
        <v>58</v>
      </c>
    </row>
    <row r="151" spans="1:11">
      <c r="A151" s="24" t="s">
        <v>458</v>
      </c>
      <c r="B151" s="25">
        <v>46328</v>
      </c>
      <c r="C151" s="1" t="s">
        <v>84</v>
      </c>
      <c r="D151" s="1" t="s">
        <v>161</v>
      </c>
      <c r="E151" s="1">
        <v>3</v>
      </c>
      <c r="F151" s="1">
        <v>24000</v>
      </c>
      <c r="G151" s="1" t="s">
        <v>459</v>
      </c>
      <c r="H151" s="1">
        <v>0</v>
      </c>
      <c r="I151" s="1">
        <v>2500</v>
      </c>
      <c r="J151" s="1" t="s">
        <v>87</v>
      </c>
      <c r="K151" s="1" t="s">
        <v>72</v>
      </c>
    </row>
    <row r="152" spans="1:11">
      <c r="A152" s="23" t="s">
        <v>460</v>
      </c>
      <c r="B152" s="25">
        <v>46361</v>
      </c>
      <c r="C152" s="1" t="s">
        <v>67</v>
      </c>
      <c r="D152" s="1" t="s">
        <v>143</v>
      </c>
      <c r="E152" s="1">
        <v>10</v>
      </c>
      <c r="F152" s="1">
        <v>110000</v>
      </c>
      <c r="G152" s="1" t="s">
        <v>461</v>
      </c>
      <c r="H152" s="1">
        <v>0</v>
      </c>
      <c r="I152" s="1">
        <v>9000</v>
      </c>
      <c r="J152" s="1" t="s">
        <v>71</v>
      </c>
      <c r="K152" s="1" t="s">
        <v>88</v>
      </c>
    </row>
    <row r="153" spans="1:11">
      <c r="A153" s="24" t="s">
        <v>462</v>
      </c>
      <c r="B153" s="25">
        <v>46243</v>
      </c>
      <c r="C153" s="1" t="s">
        <v>48</v>
      </c>
      <c r="D153" s="1" t="s">
        <v>80</v>
      </c>
      <c r="E153" s="1">
        <v>11</v>
      </c>
      <c r="F153" s="1">
        <v>110000</v>
      </c>
      <c r="G153" s="1" t="s">
        <v>463</v>
      </c>
      <c r="H153" s="1" t="s">
        <v>70</v>
      </c>
      <c r="I153" s="1">
        <v>2500</v>
      </c>
      <c r="J153" s="1" t="s">
        <v>101</v>
      </c>
      <c r="K153" s="1" t="s">
        <v>72</v>
      </c>
    </row>
    <row r="154" spans="1:11">
      <c r="A154" s="23" t="s">
        <v>464</v>
      </c>
      <c r="B154" s="25">
        <v>46329</v>
      </c>
      <c r="C154" s="1" t="s">
        <v>320</v>
      </c>
      <c r="D154" s="1" t="s">
        <v>49</v>
      </c>
      <c r="E154" s="1">
        <v>4</v>
      </c>
      <c r="F154" s="1">
        <v>45000</v>
      </c>
      <c r="G154" s="1" t="s">
        <v>465</v>
      </c>
      <c r="H154" s="1">
        <v>0</v>
      </c>
      <c r="I154" s="1">
        <v>5000</v>
      </c>
      <c r="J154" s="1" t="s">
        <v>87</v>
      </c>
      <c r="K154" s="1" t="s">
        <v>88</v>
      </c>
    </row>
    <row r="155" spans="1:11">
      <c r="A155" s="24" t="s">
        <v>466</v>
      </c>
      <c r="B155" s="25">
        <v>46084</v>
      </c>
      <c r="C155" s="1" t="s">
        <v>216</v>
      </c>
      <c r="D155" s="1" t="s">
        <v>143</v>
      </c>
      <c r="E155" s="1">
        <v>12</v>
      </c>
      <c r="F155" s="1">
        <v>85000</v>
      </c>
      <c r="G155" s="1" t="s">
        <v>467</v>
      </c>
      <c r="H155" s="1" t="s">
        <v>77</v>
      </c>
      <c r="I155" s="1">
        <v>9000</v>
      </c>
      <c r="J155" s="1" t="s">
        <v>51</v>
      </c>
      <c r="K155" s="1" t="s">
        <v>82</v>
      </c>
    </row>
    <row r="156" spans="1:11">
      <c r="A156" s="23" t="s">
        <v>468</v>
      </c>
      <c r="B156" s="25">
        <v>46279</v>
      </c>
      <c r="C156" s="1"/>
      <c r="D156" s="1" t="s">
        <v>173</v>
      </c>
      <c r="E156" s="1">
        <v>6</v>
      </c>
      <c r="F156" s="1">
        <v>18000</v>
      </c>
      <c r="G156" s="1" t="s">
        <v>469</v>
      </c>
      <c r="H156" s="1">
        <v>0</v>
      </c>
      <c r="I156" s="1">
        <v>7000</v>
      </c>
      <c r="J156" s="1" t="s">
        <v>71</v>
      </c>
      <c r="K156" s="1" t="s">
        <v>72</v>
      </c>
    </row>
    <row r="157" spans="1:11">
      <c r="A157" s="24" t="s">
        <v>470</v>
      </c>
      <c r="B157" s="25">
        <v>46062</v>
      </c>
      <c r="C157" s="1" t="s">
        <v>245</v>
      </c>
      <c r="D157" s="1" t="s">
        <v>55</v>
      </c>
      <c r="E157" s="1">
        <v>7</v>
      </c>
      <c r="F157" s="1">
        <v>85000</v>
      </c>
      <c r="G157" s="1" t="s">
        <v>471</v>
      </c>
      <c r="H157" s="1" t="s">
        <v>77</v>
      </c>
      <c r="I157" s="1">
        <v>5000</v>
      </c>
      <c r="J157" s="1" t="s">
        <v>71</v>
      </c>
      <c r="K157" s="1" t="s">
        <v>72</v>
      </c>
    </row>
    <row r="158" spans="1:11">
      <c r="A158" s="23" t="s">
        <v>472</v>
      </c>
      <c r="B158" s="25">
        <v>46033</v>
      </c>
      <c r="C158" s="1" t="s">
        <v>408</v>
      </c>
      <c r="D158" s="1" t="s">
        <v>130</v>
      </c>
      <c r="E158" s="1">
        <v>10</v>
      </c>
      <c r="F158" s="1">
        <v>110000</v>
      </c>
      <c r="G158" s="1" t="s">
        <v>473</v>
      </c>
      <c r="H158" s="1" t="s">
        <v>70</v>
      </c>
      <c r="I158" s="1">
        <v>2500</v>
      </c>
      <c r="J158" s="1" t="s">
        <v>108</v>
      </c>
      <c r="K158" s="1" t="s">
        <v>65</v>
      </c>
    </row>
    <row r="159" spans="1:11">
      <c r="A159" s="24" t="s">
        <v>474</v>
      </c>
      <c r="B159" s="25">
        <v>46147</v>
      </c>
      <c r="C159" s="1" t="s">
        <v>475</v>
      </c>
      <c r="D159" s="1" t="s">
        <v>55</v>
      </c>
      <c r="E159" s="1">
        <v>7</v>
      </c>
      <c r="F159" s="1">
        <v>18000</v>
      </c>
      <c r="G159" s="1" t="s">
        <v>476</v>
      </c>
      <c r="H159" s="1" t="s">
        <v>70</v>
      </c>
      <c r="I159" s="1">
        <v>5000</v>
      </c>
      <c r="J159" s="1" t="s">
        <v>101</v>
      </c>
      <c r="K159" s="1" t="s">
        <v>88</v>
      </c>
    </row>
    <row r="160" spans="1:11">
      <c r="A160" s="23" t="s">
        <v>477</v>
      </c>
      <c r="B160" s="25">
        <v>46109</v>
      </c>
      <c r="C160" s="1" t="s">
        <v>138</v>
      </c>
      <c r="D160" s="1" t="s">
        <v>139</v>
      </c>
      <c r="E160" s="1">
        <v>11</v>
      </c>
      <c r="F160" s="1">
        <v>18000</v>
      </c>
      <c r="G160" s="1" t="s">
        <v>478</v>
      </c>
      <c r="H160" s="1">
        <v>0</v>
      </c>
      <c r="I160" s="1">
        <v>5000</v>
      </c>
      <c r="J160" s="1" t="s">
        <v>87</v>
      </c>
      <c r="K160" s="1" t="s">
        <v>52</v>
      </c>
    </row>
    <row r="161" spans="1:11">
      <c r="A161" s="24" t="s">
        <v>479</v>
      </c>
      <c r="B161" s="25">
        <v>46353</v>
      </c>
      <c r="C161" s="1" t="s">
        <v>480</v>
      </c>
      <c r="D161" s="1" t="s">
        <v>85</v>
      </c>
      <c r="E161" s="1">
        <v>2</v>
      </c>
      <c r="F161" s="1">
        <v>24000</v>
      </c>
      <c r="G161" s="1" t="s">
        <v>481</v>
      </c>
      <c r="H161" s="1">
        <v>0</v>
      </c>
      <c r="I161" s="1">
        <v>9000</v>
      </c>
      <c r="J161" s="1" t="s">
        <v>101</v>
      </c>
      <c r="K161" s="1" t="s">
        <v>52</v>
      </c>
    </row>
    <row r="162" spans="1:11">
      <c r="A162" s="23" t="s">
        <v>482</v>
      </c>
      <c r="B162" s="25">
        <v>46061</v>
      </c>
      <c r="C162" s="1" t="s">
        <v>210</v>
      </c>
      <c r="D162" s="1" t="s">
        <v>104</v>
      </c>
      <c r="E162" s="1">
        <v>8</v>
      </c>
      <c r="F162" s="1">
        <v>110000</v>
      </c>
      <c r="G162" s="1" t="s">
        <v>483</v>
      </c>
      <c r="H162" s="1" t="s">
        <v>63</v>
      </c>
      <c r="I162" s="1">
        <v>7000</v>
      </c>
      <c r="J162" s="1" t="s">
        <v>51</v>
      </c>
      <c r="K162" s="1" t="s">
        <v>58</v>
      </c>
    </row>
    <row r="163" spans="1:11">
      <c r="A163" s="24" t="s">
        <v>484</v>
      </c>
      <c r="B163" s="25">
        <v>46352</v>
      </c>
      <c r="C163" s="1" t="s">
        <v>229</v>
      </c>
      <c r="D163" s="1" t="s">
        <v>68</v>
      </c>
      <c r="E163" s="1">
        <v>11</v>
      </c>
      <c r="F163" s="1">
        <v>60000</v>
      </c>
      <c r="G163" s="1" t="s">
        <v>485</v>
      </c>
      <c r="H163" s="1">
        <v>0</v>
      </c>
      <c r="I163" s="1">
        <v>7000</v>
      </c>
      <c r="J163" s="1" t="s">
        <v>108</v>
      </c>
      <c r="K163" s="1" t="s">
        <v>52</v>
      </c>
    </row>
    <row r="164" spans="1:11">
      <c r="A164" s="23" t="s">
        <v>486</v>
      </c>
      <c r="B164" s="25">
        <v>46178</v>
      </c>
      <c r="C164" s="1" t="s">
        <v>206</v>
      </c>
      <c r="D164" s="1" t="s">
        <v>55</v>
      </c>
      <c r="E164" s="1">
        <v>1</v>
      </c>
      <c r="F164" s="1">
        <v>60000</v>
      </c>
      <c r="G164" s="1" t="s">
        <v>487</v>
      </c>
      <c r="H164" s="1" t="s">
        <v>70</v>
      </c>
      <c r="I164" s="1">
        <v>7000</v>
      </c>
      <c r="J164" s="1" t="s">
        <v>108</v>
      </c>
      <c r="K164" s="1" t="s">
        <v>65</v>
      </c>
    </row>
    <row r="165" spans="1:11">
      <c r="A165" s="24" t="s">
        <v>488</v>
      </c>
      <c r="B165" s="25">
        <v>46052</v>
      </c>
      <c r="C165" s="1" t="s">
        <v>133</v>
      </c>
      <c r="D165" s="1" t="s">
        <v>80</v>
      </c>
      <c r="E165" s="1">
        <v>2</v>
      </c>
      <c r="F165" s="1">
        <v>18000</v>
      </c>
      <c r="G165" s="1" t="s">
        <v>489</v>
      </c>
      <c r="H165" s="1" t="s">
        <v>63</v>
      </c>
      <c r="I165" s="1">
        <v>7000</v>
      </c>
      <c r="J165" s="1" t="s">
        <v>108</v>
      </c>
      <c r="K165" s="1" t="s">
        <v>58</v>
      </c>
    </row>
    <row r="166" spans="1:11">
      <c r="A166" s="23" t="s">
        <v>490</v>
      </c>
      <c r="B166" s="25">
        <v>46306</v>
      </c>
      <c r="C166" s="1" t="s">
        <v>491</v>
      </c>
      <c r="D166" s="1" t="s">
        <v>114</v>
      </c>
      <c r="E166" s="1">
        <v>10</v>
      </c>
      <c r="F166" s="1">
        <v>32000</v>
      </c>
      <c r="G166" s="1" t="s">
        <v>492</v>
      </c>
      <c r="H166" s="1" t="s">
        <v>77</v>
      </c>
      <c r="I166" s="1">
        <v>9000</v>
      </c>
      <c r="J166" s="1" t="s">
        <v>101</v>
      </c>
      <c r="K166" s="1" t="s">
        <v>65</v>
      </c>
    </row>
    <row r="167" spans="1:11">
      <c r="A167" s="24" t="s">
        <v>493</v>
      </c>
      <c r="B167" s="25">
        <v>46253</v>
      </c>
      <c r="C167" s="1" t="s">
        <v>121</v>
      </c>
      <c r="D167" s="1" t="s">
        <v>68</v>
      </c>
      <c r="E167" s="1">
        <v>12</v>
      </c>
      <c r="F167" s="1">
        <v>18000</v>
      </c>
      <c r="G167" s="1" t="s">
        <v>494</v>
      </c>
      <c r="H167" s="1">
        <v>0</v>
      </c>
      <c r="I167" s="1">
        <v>2500</v>
      </c>
      <c r="J167" s="1" t="s">
        <v>101</v>
      </c>
      <c r="K167" s="1" t="s">
        <v>52</v>
      </c>
    </row>
    <row r="168" spans="1:11">
      <c r="A168" s="23" t="s">
        <v>495</v>
      </c>
      <c r="B168" s="25">
        <v>46247</v>
      </c>
      <c r="C168" s="1" t="s">
        <v>189</v>
      </c>
      <c r="D168" s="1" t="s">
        <v>139</v>
      </c>
      <c r="E168" s="1">
        <v>9</v>
      </c>
      <c r="F168" s="1">
        <v>24000</v>
      </c>
      <c r="G168" s="1" t="s">
        <v>496</v>
      </c>
      <c r="H168" s="1" t="s">
        <v>70</v>
      </c>
      <c r="I168" s="1">
        <v>7000</v>
      </c>
      <c r="J168" s="1" t="s">
        <v>108</v>
      </c>
      <c r="K168" s="1" t="s">
        <v>88</v>
      </c>
    </row>
    <row r="169" spans="1:11">
      <c r="A169" s="24" t="s">
        <v>497</v>
      </c>
      <c r="B169" s="25">
        <v>46370</v>
      </c>
      <c r="C169" s="1" t="s">
        <v>113</v>
      </c>
      <c r="D169" s="1" t="s">
        <v>161</v>
      </c>
      <c r="E169" s="1">
        <v>11</v>
      </c>
      <c r="F169" s="1">
        <v>60000</v>
      </c>
      <c r="G169" s="1" t="s">
        <v>498</v>
      </c>
      <c r="H169" s="1">
        <v>0</v>
      </c>
      <c r="I169" s="1">
        <v>9000</v>
      </c>
      <c r="J169" s="1" t="s">
        <v>51</v>
      </c>
      <c r="K169" s="1" t="s">
        <v>72</v>
      </c>
    </row>
    <row r="170" spans="1:11">
      <c r="A170" s="23" t="s">
        <v>499</v>
      </c>
      <c r="B170" s="25">
        <v>46168</v>
      </c>
      <c r="C170" s="1" t="s">
        <v>337</v>
      </c>
      <c r="D170" s="1" t="s">
        <v>220</v>
      </c>
      <c r="E170" s="1">
        <v>11</v>
      </c>
      <c r="F170" s="1">
        <v>24000</v>
      </c>
      <c r="G170" s="1" t="s">
        <v>500</v>
      </c>
      <c r="H170" s="1" t="s">
        <v>63</v>
      </c>
      <c r="I170" s="1">
        <v>3500</v>
      </c>
      <c r="J170" s="1" t="s">
        <v>87</v>
      </c>
      <c r="K170" s="1" t="s">
        <v>88</v>
      </c>
    </row>
    <row r="171" spans="1:11">
      <c r="A171" s="24" t="s">
        <v>501</v>
      </c>
      <c r="B171" s="25">
        <v>46358</v>
      </c>
      <c r="C171" s="1" t="s">
        <v>103</v>
      </c>
      <c r="D171" s="1" t="s">
        <v>110</v>
      </c>
      <c r="E171" s="1">
        <v>10</v>
      </c>
      <c r="F171" s="1">
        <v>18000</v>
      </c>
      <c r="G171" s="1" t="s">
        <v>502</v>
      </c>
      <c r="H171" s="1" t="s">
        <v>77</v>
      </c>
      <c r="I171" s="1">
        <v>5000</v>
      </c>
      <c r="J171" s="1" t="s">
        <v>64</v>
      </c>
      <c r="K171" s="1" t="s">
        <v>82</v>
      </c>
    </row>
    <row r="172" spans="1:11">
      <c r="A172" s="23" t="s">
        <v>503</v>
      </c>
      <c r="B172" s="25">
        <v>46366</v>
      </c>
      <c r="C172" s="1" t="s">
        <v>164</v>
      </c>
      <c r="D172" s="1" t="s">
        <v>127</v>
      </c>
      <c r="E172" s="1">
        <v>11</v>
      </c>
      <c r="F172" s="1">
        <v>85000</v>
      </c>
      <c r="G172" s="1" t="s">
        <v>504</v>
      </c>
      <c r="H172" s="1">
        <v>0</v>
      </c>
      <c r="I172" s="1">
        <v>5000</v>
      </c>
      <c r="J172" s="1" t="s">
        <v>87</v>
      </c>
      <c r="K172" s="1" t="s">
        <v>82</v>
      </c>
    </row>
    <row r="173" spans="1:11">
      <c r="A173" s="24" t="s">
        <v>505</v>
      </c>
      <c r="B173" s="25">
        <v>46132</v>
      </c>
      <c r="C173" s="1" t="s">
        <v>117</v>
      </c>
      <c r="D173" s="1" t="s">
        <v>143</v>
      </c>
      <c r="E173" s="1">
        <v>4</v>
      </c>
      <c r="F173" s="1">
        <v>32000</v>
      </c>
      <c r="G173" s="1" t="s">
        <v>506</v>
      </c>
      <c r="H173" s="1">
        <v>0</v>
      </c>
      <c r="I173" s="1">
        <v>2500</v>
      </c>
      <c r="J173" s="1" t="s">
        <v>87</v>
      </c>
      <c r="K173" s="1" t="s">
        <v>65</v>
      </c>
    </row>
    <row r="174" spans="1:11">
      <c r="A174" s="23" t="s">
        <v>507</v>
      </c>
      <c r="B174" s="25">
        <v>46282</v>
      </c>
      <c r="C174" s="1" t="s">
        <v>348</v>
      </c>
      <c r="D174" s="1" t="s">
        <v>220</v>
      </c>
      <c r="E174" s="1">
        <v>9</v>
      </c>
      <c r="F174" s="1">
        <v>12000</v>
      </c>
      <c r="G174" s="1" t="s">
        <v>508</v>
      </c>
      <c r="H174" s="1" t="s">
        <v>63</v>
      </c>
      <c r="I174" s="1">
        <v>3500</v>
      </c>
      <c r="J174" s="1" t="s">
        <v>57</v>
      </c>
      <c r="K174" s="1" t="s">
        <v>72</v>
      </c>
    </row>
    <row r="175" spans="1:11">
      <c r="A175" s="24" t="s">
        <v>509</v>
      </c>
      <c r="B175" s="25">
        <v>46101</v>
      </c>
      <c r="C175" s="1" t="s">
        <v>323</v>
      </c>
      <c r="D175" s="1" t="s">
        <v>130</v>
      </c>
      <c r="E175" s="1">
        <v>12</v>
      </c>
      <c r="F175" s="1">
        <v>24000</v>
      </c>
      <c r="G175" s="1" t="s">
        <v>510</v>
      </c>
      <c r="H175" s="1">
        <v>0</v>
      </c>
      <c r="I175" s="1">
        <v>7000</v>
      </c>
      <c r="J175" s="1" t="s">
        <v>87</v>
      </c>
      <c r="K175" s="1" t="s">
        <v>52</v>
      </c>
    </row>
    <row r="176" spans="1:11">
      <c r="A176" s="23" t="s">
        <v>511</v>
      </c>
      <c r="B176" s="25">
        <v>46144</v>
      </c>
      <c r="C176" s="1" t="s">
        <v>189</v>
      </c>
      <c r="D176" s="1" t="s">
        <v>272</v>
      </c>
      <c r="E176" s="1">
        <v>5</v>
      </c>
      <c r="F176" s="1">
        <v>110000</v>
      </c>
      <c r="G176" s="1" t="s">
        <v>512</v>
      </c>
      <c r="H176" s="1">
        <v>0</v>
      </c>
      <c r="I176" s="1">
        <v>5000</v>
      </c>
      <c r="J176" s="1" t="s">
        <v>64</v>
      </c>
      <c r="K176" s="1" t="s">
        <v>72</v>
      </c>
    </row>
    <row r="177" spans="1:11">
      <c r="A177" s="24" t="s">
        <v>513</v>
      </c>
      <c r="B177" s="25">
        <v>46122</v>
      </c>
      <c r="C177" s="1" t="s">
        <v>133</v>
      </c>
      <c r="D177" s="1" t="s">
        <v>173</v>
      </c>
      <c r="E177" s="1">
        <v>10</v>
      </c>
      <c r="F177" s="1">
        <v>110000</v>
      </c>
      <c r="G177" s="1" t="s">
        <v>514</v>
      </c>
      <c r="H177" s="1" t="s">
        <v>70</v>
      </c>
      <c r="I177" s="1">
        <v>7000</v>
      </c>
      <c r="J177" s="1" t="s">
        <v>57</v>
      </c>
      <c r="K177" s="1" t="s">
        <v>58</v>
      </c>
    </row>
    <row r="178" spans="1:11">
      <c r="A178" s="23" t="s">
        <v>515</v>
      </c>
      <c r="B178" s="25">
        <v>46237</v>
      </c>
      <c r="C178" s="1" t="s">
        <v>323</v>
      </c>
      <c r="D178" s="1" t="s">
        <v>61</v>
      </c>
      <c r="E178" s="1">
        <v>10</v>
      </c>
      <c r="F178" s="1">
        <v>24000</v>
      </c>
      <c r="G178" s="1" t="s">
        <v>516</v>
      </c>
      <c r="H178" s="1">
        <v>0</v>
      </c>
      <c r="I178" s="1">
        <v>7000</v>
      </c>
      <c r="J178" s="1" t="s">
        <v>64</v>
      </c>
      <c r="K178" s="1" t="s">
        <v>208</v>
      </c>
    </row>
    <row r="179" spans="1:11">
      <c r="A179" s="24" t="s">
        <v>517</v>
      </c>
      <c r="B179" s="25">
        <v>46306</v>
      </c>
      <c r="C179" s="1" t="s">
        <v>121</v>
      </c>
      <c r="D179" s="1" t="s">
        <v>91</v>
      </c>
      <c r="E179" s="1">
        <v>9</v>
      </c>
      <c r="F179" s="1">
        <v>18000</v>
      </c>
      <c r="G179" s="1" t="s">
        <v>518</v>
      </c>
      <c r="H179" s="1">
        <v>0</v>
      </c>
      <c r="I179" s="1">
        <v>5000</v>
      </c>
      <c r="J179" s="1" t="s">
        <v>108</v>
      </c>
      <c r="K179" s="1" t="s">
        <v>58</v>
      </c>
    </row>
    <row r="180" spans="1:11">
      <c r="A180" s="23" t="s">
        <v>519</v>
      </c>
      <c r="B180" s="25">
        <v>46098</v>
      </c>
      <c r="C180" s="1" t="s">
        <v>475</v>
      </c>
      <c r="D180" s="1" t="s">
        <v>127</v>
      </c>
      <c r="E180" s="1">
        <v>4</v>
      </c>
      <c r="F180" s="1">
        <v>110000</v>
      </c>
      <c r="G180" s="1" t="s">
        <v>520</v>
      </c>
      <c r="H180" s="1">
        <v>0</v>
      </c>
      <c r="I180" s="1">
        <v>7000</v>
      </c>
      <c r="J180" s="1" t="s">
        <v>71</v>
      </c>
      <c r="K180" s="1" t="s">
        <v>72</v>
      </c>
    </row>
    <row r="181" spans="1:11">
      <c r="A181" s="24" t="s">
        <v>521</v>
      </c>
      <c r="B181" s="25">
        <v>46280</v>
      </c>
      <c r="C181" s="1" t="s">
        <v>133</v>
      </c>
      <c r="D181" s="1" t="s">
        <v>85</v>
      </c>
      <c r="E181" s="1">
        <v>7</v>
      </c>
      <c r="F181" s="1">
        <v>18000</v>
      </c>
      <c r="G181" s="1" t="s">
        <v>522</v>
      </c>
      <c r="H181" s="1">
        <v>0</v>
      </c>
      <c r="I181" s="1">
        <v>5000</v>
      </c>
      <c r="J181" s="1" t="s">
        <v>71</v>
      </c>
      <c r="K181" s="1" t="s">
        <v>52</v>
      </c>
    </row>
    <row r="182" spans="1:11">
      <c r="A182" s="23" t="s">
        <v>523</v>
      </c>
      <c r="B182" s="25">
        <v>46355</v>
      </c>
      <c r="C182" s="1" t="s">
        <v>299</v>
      </c>
      <c r="D182" s="1" t="s">
        <v>110</v>
      </c>
      <c r="E182" s="1">
        <v>3</v>
      </c>
      <c r="F182" s="1">
        <v>12000</v>
      </c>
      <c r="G182" s="1" t="s">
        <v>524</v>
      </c>
      <c r="H182" s="1" t="s">
        <v>77</v>
      </c>
      <c r="I182" s="1">
        <v>3500</v>
      </c>
      <c r="J182" s="1" t="s">
        <v>64</v>
      </c>
      <c r="K182" s="1" t="s">
        <v>52</v>
      </c>
    </row>
    <row r="183" spans="1:11">
      <c r="A183" s="24" t="s">
        <v>525</v>
      </c>
      <c r="B183" s="25">
        <v>46263</v>
      </c>
      <c r="C183" s="1" t="s">
        <v>526</v>
      </c>
      <c r="D183" s="1" t="s">
        <v>272</v>
      </c>
      <c r="E183" s="1">
        <v>1</v>
      </c>
      <c r="F183" s="1">
        <v>18000</v>
      </c>
      <c r="G183" s="1" t="s">
        <v>527</v>
      </c>
      <c r="H183" s="1">
        <v>0</v>
      </c>
      <c r="I183" s="1">
        <v>3500</v>
      </c>
      <c r="J183" s="1" t="s">
        <v>57</v>
      </c>
      <c r="K183" s="1" t="s">
        <v>52</v>
      </c>
    </row>
    <row r="184" spans="1:11">
      <c r="A184" s="23" t="s">
        <v>528</v>
      </c>
      <c r="B184" s="25">
        <v>46334</v>
      </c>
      <c r="C184" s="1" t="s">
        <v>164</v>
      </c>
      <c r="D184" s="1" t="s">
        <v>146</v>
      </c>
      <c r="E184" s="1">
        <v>2</v>
      </c>
      <c r="F184" s="1">
        <v>45000</v>
      </c>
      <c r="G184" s="1" t="s">
        <v>529</v>
      </c>
      <c r="H184" s="1">
        <v>0</v>
      </c>
      <c r="I184" s="1">
        <v>2500</v>
      </c>
      <c r="J184" s="1" t="s">
        <v>101</v>
      </c>
      <c r="K184" s="1" t="s">
        <v>72</v>
      </c>
    </row>
    <row r="185" spans="1:11">
      <c r="A185" s="24" t="s">
        <v>530</v>
      </c>
      <c r="B185" s="25">
        <v>46350</v>
      </c>
      <c r="C185" s="1" t="s">
        <v>229</v>
      </c>
      <c r="D185" s="1" t="s">
        <v>114</v>
      </c>
      <c r="E185" s="1">
        <v>2</v>
      </c>
      <c r="F185" s="1">
        <v>18000</v>
      </c>
      <c r="G185" s="1" t="s">
        <v>531</v>
      </c>
      <c r="H185" s="1" t="s">
        <v>77</v>
      </c>
      <c r="I185" s="1">
        <v>9000</v>
      </c>
      <c r="J185" s="1" t="s">
        <v>57</v>
      </c>
      <c r="K185" s="1" t="s">
        <v>65</v>
      </c>
    </row>
    <row r="186" spans="1:11">
      <c r="A186" s="23" t="s">
        <v>532</v>
      </c>
      <c r="B186" s="25">
        <v>46346</v>
      </c>
      <c r="C186" s="1" t="s">
        <v>360</v>
      </c>
      <c r="D186" s="1" t="s">
        <v>55</v>
      </c>
      <c r="E186" s="1">
        <v>4</v>
      </c>
      <c r="F186" s="1">
        <v>24000</v>
      </c>
      <c r="G186" s="1" t="s">
        <v>533</v>
      </c>
      <c r="H186" s="1">
        <v>0</v>
      </c>
      <c r="I186" s="1">
        <v>9000</v>
      </c>
      <c r="J186" s="1" t="s">
        <v>87</v>
      </c>
      <c r="K186" s="1" t="s">
        <v>82</v>
      </c>
    </row>
    <row r="187" spans="1:11">
      <c r="A187" s="24" t="s">
        <v>534</v>
      </c>
      <c r="B187" s="25">
        <v>46315</v>
      </c>
      <c r="C187" s="1" t="s">
        <v>248</v>
      </c>
      <c r="D187" s="1" t="s">
        <v>130</v>
      </c>
      <c r="E187" s="1">
        <v>11</v>
      </c>
      <c r="F187" s="1">
        <v>18000</v>
      </c>
      <c r="G187" s="1" t="s">
        <v>535</v>
      </c>
      <c r="H187" s="1" t="s">
        <v>70</v>
      </c>
      <c r="I187" s="1">
        <v>2500</v>
      </c>
      <c r="J187" s="1" t="s">
        <v>57</v>
      </c>
      <c r="K187" s="1" t="s">
        <v>58</v>
      </c>
    </row>
    <row r="188" spans="1:11">
      <c r="A188" s="23" t="s">
        <v>536</v>
      </c>
      <c r="B188" s="25">
        <v>46282</v>
      </c>
      <c r="C188" s="1" t="s">
        <v>334</v>
      </c>
      <c r="D188" s="1" t="s">
        <v>190</v>
      </c>
      <c r="E188" s="1">
        <v>1</v>
      </c>
      <c r="F188" s="1">
        <v>85000</v>
      </c>
      <c r="G188" s="1" t="s">
        <v>537</v>
      </c>
      <c r="H188" s="1">
        <v>0</v>
      </c>
      <c r="I188" s="1">
        <v>7000</v>
      </c>
      <c r="J188" s="1" t="s">
        <v>87</v>
      </c>
      <c r="K188" s="1" t="s">
        <v>88</v>
      </c>
    </row>
    <row r="189" spans="1:11">
      <c r="A189" s="24" t="s">
        <v>538</v>
      </c>
      <c r="B189" s="25">
        <v>46031</v>
      </c>
      <c r="C189" s="1" t="s">
        <v>74</v>
      </c>
      <c r="D189" s="1" t="s">
        <v>127</v>
      </c>
      <c r="E189" s="1">
        <v>6</v>
      </c>
      <c r="F189" s="1">
        <v>32000</v>
      </c>
      <c r="G189" s="1" t="s">
        <v>539</v>
      </c>
      <c r="H189" s="1">
        <v>0</v>
      </c>
      <c r="I189" s="1">
        <v>9000</v>
      </c>
      <c r="J189" s="1" t="s">
        <v>51</v>
      </c>
      <c r="K189" s="1" t="s">
        <v>88</v>
      </c>
    </row>
    <row r="190" spans="1:11">
      <c r="A190" s="23" t="s">
        <v>540</v>
      </c>
      <c r="B190" s="25">
        <v>46091</v>
      </c>
      <c r="C190" s="1" t="s">
        <v>491</v>
      </c>
      <c r="D190" s="1" t="s">
        <v>75</v>
      </c>
      <c r="E190" s="1">
        <v>9</v>
      </c>
      <c r="F190" s="1">
        <v>60000</v>
      </c>
      <c r="G190" s="1" t="s">
        <v>541</v>
      </c>
      <c r="H190" s="1">
        <v>0</v>
      </c>
      <c r="I190" s="1">
        <v>7000</v>
      </c>
      <c r="J190" s="1" t="s">
        <v>51</v>
      </c>
      <c r="K190" s="1" t="s">
        <v>72</v>
      </c>
    </row>
    <row r="191" spans="1:11">
      <c r="A191" s="24" t="s">
        <v>542</v>
      </c>
      <c r="B191" s="25">
        <v>46346</v>
      </c>
      <c r="C191" s="1" t="s">
        <v>289</v>
      </c>
      <c r="D191" s="1" t="s">
        <v>110</v>
      </c>
      <c r="E191" s="1">
        <v>2</v>
      </c>
      <c r="F191" s="1">
        <v>110000</v>
      </c>
      <c r="G191" s="1" t="s">
        <v>543</v>
      </c>
      <c r="H191" s="1">
        <v>0</v>
      </c>
      <c r="I191" s="1">
        <v>2500</v>
      </c>
      <c r="J191" s="1" t="s">
        <v>64</v>
      </c>
      <c r="K191" s="1" t="s">
        <v>82</v>
      </c>
    </row>
    <row r="192" spans="1:11">
      <c r="A192" s="23" t="s">
        <v>544</v>
      </c>
      <c r="B192" s="25">
        <v>46044</v>
      </c>
      <c r="C192" s="1" t="s">
        <v>245</v>
      </c>
      <c r="D192" s="1" t="s">
        <v>80</v>
      </c>
      <c r="E192" s="1">
        <v>9</v>
      </c>
      <c r="F192" s="1">
        <v>85000</v>
      </c>
      <c r="G192" s="1" t="s">
        <v>545</v>
      </c>
      <c r="H192" s="1" t="s">
        <v>63</v>
      </c>
      <c r="I192" s="1">
        <v>7000</v>
      </c>
      <c r="J192" s="1" t="s">
        <v>87</v>
      </c>
      <c r="K192" s="1" t="s">
        <v>65</v>
      </c>
    </row>
    <row r="193" spans="1:11">
      <c r="A193" s="24" t="s">
        <v>546</v>
      </c>
      <c r="B193" s="25">
        <v>46354</v>
      </c>
      <c r="C193" s="1" t="s">
        <v>394</v>
      </c>
      <c r="D193" s="1" t="s">
        <v>80</v>
      </c>
      <c r="E193" s="1">
        <v>6</v>
      </c>
      <c r="F193" s="1">
        <v>12000</v>
      </c>
      <c r="G193" s="1" t="s">
        <v>547</v>
      </c>
      <c r="H193" s="1" t="s">
        <v>70</v>
      </c>
      <c r="I193" s="1">
        <v>5000</v>
      </c>
      <c r="J193" s="1" t="s">
        <v>71</v>
      </c>
      <c r="K193" s="1" t="s">
        <v>88</v>
      </c>
    </row>
    <row r="194" spans="1:11">
      <c r="A194" s="23" t="s">
        <v>548</v>
      </c>
      <c r="B194" s="25">
        <v>46246</v>
      </c>
      <c r="C194" s="1" t="s">
        <v>98</v>
      </c>
      <c r="D194" s="1" t="s">
        <v>220</v>
      </c>
      <c r="E194" s="1">
        <v>8</v>
      </c>
      <c r="F194" s="1">
        <v>85000</v>
      </c>
      <c r="G194" s="1" t="s">
        <v>549</v>
      </c>
      <c r="H194" s="1">
        <v>0</v>
      </c>
      <c r="I194" s="1">
        <v>7000</v>
      </c>
      <c r="J194" s="1" t="s">
        <v>51</v>
      </c>
      <c r="K194" s="1" t="s">
        <v>72</v>
      </c>
    </row>
    <row r="195" spans="1:11">
      <c r="A195" s="24" t="s">
        <v>550</v>
      </c>
      <c r="B195" s="25">
        <v>46211</v>
      </c>
      <c r="C195" s="1" t="s">
        <v>317</v>
      </c>
      <c r="D195" s="1" t="s">
        <v>99</v>
      </c>
      <c r="E195" s="1">
        <v>2</v>
      </c>
      <c r="F195" s="1">
        <v>85000</v>
      </c>
      <c r="G195" s="1" t="s">
        <v>551</v>
      </c>
      <c r="H195" s="1" t="s">
        <v>63</v>
      </c>
      <c r="I195" s="1">
        <v>3500</v>
      </c>
      <c r="J195" s="1" t="s">
        <v>57</v>
      </c>
      <c r="K195" s="1" t="s">
        <v>88</v>
      </c>
    </row>
    <row r="196" spans="1:11">
      <c r="A196" s="23" t="s">
        <v>552</v>
      </c>
      <c r="B196" s="25">
        <v>46187</v>
      </c>
      <c r="C196" s="1" t="s">
        <v>121</v>
      </c>
      <c r="D196" s="1" t="s">
        <v>127</v>
      </c>
      <c r="E196" s="1">
        <v>6</v>
      </c>
      <c r="F196" s="1">
        <v>45000</v>
      </c>
      <c r="G196" s="1" t="s">
        <v>553</v>
      </c>
      <c r="H196" s="1" t="s">
        <v>63</v>
      </c>
      <c r="I196" s="1">
        <v>7000</v>
      </c>
      <c r="J196" s="1" t="s">
        <v>101</v>
      </c>
      <c r="K196" s="1" t="s">
        <v>52</v>
      </c>
    </row>
    <row r="197" spans="1:11">
      <c r="A197" s="24" t="s">
        <v>554</v>
      </c>
      <c r="B197" s="25">
        <v>46250</v>
      </c>
      <c r="C197" s="1" t="s">
        <v>203</v>
      </c>
      <c r="D197" s="1" t="s">
        <v>114</v>
      </c>
      <c r="E197" s="1">
        <v>1</v>
      </c>
      <c r="F197" s="1">
        <v>60000</v>
      </c>
      <c r="G197" s="1" t="s">
        <v>555</v>
      </c>
      <c r="H197" s="1" t="s">
        <v>77</v>
      </c>
      <c r="I197" s="1">
        <v>5000</v>
      </c>
      <c r="J197" s="1" t="s">
        <v>51</v>
      </c>
      <c r="K197" s="1" t="s">
        <v>65</v>
      </c>
    </row>
    <row r="198" spans="1:11">
      <c r="A198" s="23" t="s">
        <v>556</v>
      </c>
      <c r="B198" s="25">
        <v>46061</v>
      </c>
      <c r="C198" s="1" t="s">
        <v>98</v>
      </c>
      <c r="D198" s="1" t="s">
        <v>75</v>
      </c>
      <c r="E198" s="1">
        <v>9</v>
      </c>
      <c r="F198" s="1">
        <v>24000</v>
      </c>
      <c r="G198" s="1" t="s">
        <v>557</v>
      </c>
      <c r="H198" s="1">
        <v>0</v>
      </c>
      <c r="I198" s="1">
        <v>9000</v>
      </c>
      <c r="J198" s="1" t="s">
        <v>51</v>
      </c>
      <c r="K198" s="1" t="s">
        <v>72</v>
      </c>
    </row>
    <row r="199" spans="1:11">
      <c r="A199" s="24" t="s">
        <v>558</v>
      </c>
      <c r="B199" s="25">
        <v>46040</v>
      </c>
      <c r="C199" s="1" t="s">
        <v>172</v>
      </c>
      <c r="D199" s="1" t="s">
        <v>127</v>
      </c>
      <c r="E199" s="1">
        <v>4</v>
      </c>
      <c r="F199" s="1">
        <v>60000</v>
      </c>
      <c r="G199" s="1" t="s">
        <v>559</v>
      </c>
      <c r="H199" s="1" t="s">
        <v>63</v>
      </c>
      <c r="I199" s="1">
        <v>2500</v>
      </c>
      <c r="J199" s="1" t="s">
        <v>57</v>
      </c>
      <c r="K199" s="1" t="s">
        <v>82</v>
      </c>
    </row>
    <row r="200" spans="1:11">
      <c r="A200" s="23" t="s">
        <v>560</v>
      </c>
      <c r="B200" s="25">
        <v>46370</v>
      </c>
      <c r="C200" s="1" t="s">
        <v>526</v>
      </c>
      <c r="D200" s="1" t="s">
        <v>75</v>
      </c>
      <c r="E200" s="1">
        <v>6</v>
      </c>
      <c r="F200" s="1">
        <v>110000</v>
      </c>
      <c r="G200" s="1" t="s">
        <v>561</v>
      </c>
      <c r="H200" s="1" t="s">
        <v>63</v>
      </c>
      <c r="I200" s="1">
        <v>3500</v>
      </c>
      <c r="J200" s="1" t="s">
        <v>57</v>
      </c>
      <c r="K200" s="1" t="s">
        <v>88</v>
      </c>
    </row>
    <row r="201" spans="1:11">
      <c r="A201" s="24" t="s">
        <v>562</v>
      </c>
      <c r="B201" s="25">
        <v>46226</v>
      </c>
      <c r="C201" s="1" t="s">
        <v>245</v>
      </c>
      <c r="D201" s="1" t="s">
        <v>104</v>
      </c>
      <c r="E201" s="1">
        <v>5</v>
      </c>
      <c r="F201" s="1">
        <v>32000</v>
      </c>
      <c r="G201" s="1" t="s">
        <v>563</v>
      </c>
      <c r="H201" s="1">
        <v>0</v>
      </c>
      <c r="I201" s="1">
        <v>3500</v>
      </c>
      <c r="J201" s="1" t="s">
        <v>108</v>
      </c>
      <c r="K201" s="1" t="s">
        <v>58</v>
      </c>
    </row>
    <row r="202" spans="1:11">
      <c r="A202" s="23" t="s">
        <v>564</v>
      </c>
      <c r="B202" s="25">
        <v>46221</v>
      </c>
      <c r="C202" s="1" t="s">
        <v>60</v>
      </c>
      <c r="D202" s="1" t="s">
        <v>118</v>
      </c>
      <c r="E202" s="1">
        <v>5</v>
      </c>
      <c r="F202" s="1">
        <v>45000</v>
      </c>
      <c r="G202" s="1" t="s">
        <v>565</v>
      </c>
      <c r="H202" s="1">
        <v>0</v>
      </c>
      <c r="I202" s="1">
        <v>9000</v>
      </c>
      <c r="J202" s="1" t="s">
        <v>87</v>
      </c>
      <c r="K202" s="1" t="s">
        <v>52</v>
      </c>
    </row>
    <row r="203" spans="1:11">
      <c r="A203" s="24" t="s">
        <v>566</v>
      </c>
      <c r="B203" s="25">
        <v>46274</v>
      </c>
      <c r="C203" s="1" t="s">
        <v>399</v>
      </c>
      <c r="D203" s="1" t="s">
        <v>118</v>
      </c>
      <c r="E203" s="1">
        <v>3</v>
      </c>
      <c r="F203" s="1">
        <v>18000</v>
      </c>
      <c r="G203" s="1" t="s">
        <v>567</v>
      </c>
      <c r="H203" s="1" t="s">
        <v>77</v>
      </c>
      <c r="I203" s="1">
        <v>2500</v>
      </c>
      <c r="J203" s="1" t="s">
        <v>64</v>
      </c>
      <c r="K203" s="1" t="s">
        <v>52</v>
      </c>
    </row>
    <row r="204" spans="1:11">
      <c r="A204" s="23" t="s">
        <v>568</v>
      </c>
      <c r="B204" s="25">
        <v>46186</v>
      </c>
      <c r="C204" s="1" t="s">
        <v>203</v>
      </c>
      <c r="D204" s="1" t="s">
        <v>91</v>
      </c>
      <c r="E204" s="1">
        <v>2</v>
      </c>
      <c r="F204" s="1">
        <v>45000</v>
      </c>
      <c r="G204" s="1" t="s">
        <v>569</v>
      </c>
      <c r="H204" s="1">
        <v>0</v>
      </c>
      <c r="I204" s="1">
        <v>3500</v>
      </c>
      <c r="J204" s="1" t="s">
        <v>64</v>
      </c>
      <c r="K204" s="1" t="s">
        <v>88</v>
      </c>
    </row>
    <row r="205" spans="1:11">
      <c r="A205" s="24" t="s">
        <v>570</v>
      </c>
      <c r="B205" s="25">
        <v>46283</v>
      </c>
      <c r="C205" s="1" t="s">
        <v>571</v>
      </c>
      <c r="D205" s="1" t="s">
        <v>118</v>
      </c>
      <c r="E205" s="1">
        <v>4</v>
      </c>
      <c r="F205" s="1">
        <v>24000</v>
      </c>
      <c r="G205" s="1" t="s">
        <v>572</v>
      </c>
      <c r="H205" s="1" t="s">
        <v>77</v>
      </c>
      <c r="I205" s="1">
        <v>2500</v>
      </c>
      <c r="J205" s="1" t="s">
        <v>87</v>
      </c>
      <c r="K205" s="1" t="s">
        <v>58</v>
      </c>
    </row>
    <row r="206" spans="1:11">
      <c r="A206" s="23" t="s">
        <v>573</v>
      </c>
      <c r="B206" s="25">
        <v>46316</v>
      </c>
      <c r="C206" s="1" t="s">
        <v>133</v>
      </c>
      <c r="D206" s="1" t="s">
        <v>114</v>
      </c>
      <c r="E206" s="1">
        <v>9</v>
      </c>
      <c r="F206" s="1">
        <v>24000</v>
      </c>
      <c r="G206" s="1" t="s">
        <v>574</v>
      </c>
      <c r="H206" s="1">
        <v>0</v>
      </c>
      <c r="I206" s="1">
        <v>2500</v>
      </c>
      <c r="J206" s="1" t="s">
        <v>87</v>
      </c>
      <c r="K206" s="1" t="s">
        <v>72</v>
      </c>
    </row>
    <row r="207" spans="1:11">
      <c r="A207" s="24" t="s">
        <v>575</v>
      </c>
      <c r="B207" s="25">
        <v>46268</v>
      </c>
      <c r="C207" s="1" t="s">
        <v>164</v>
      </c>
      <c r="D207" s="1" t="s">
        <v>146</v>
      </c>
      <c r="E207" s="1">
        <v>7</v>
      </c>
      <c r="F207" s="1">
        <v>18000</v>
      </c>
      <c r="G207" s="1" t="s">
        <v>576</v>
      </c>
      <c r="H207" s="1" t="s">
        <v>70</v>
      </c>
      <c r="I207" s="1">
        <v>2500</v>
      </c>
      <c r="J207" s="1" t="s">
        <v>108</v>
      </c>
      <c r="K207" s="1" t="s">
        <v>72</v>
      </c>
    </row>
    <row r="208" spans="1:11">
      <c r="A208" s="23" t="s">
        <v>577</v>
      </c>
      <c r="B208" s="25">
        <v>46371</v>
      </c>
      <c r="C208" s="1" t="s">
        <v>317</v>
      </c>
      <c r="D208" s="1" t="s">
        <v>75</v>
      </c>
      <c r="E208" s="1">
        <v>3</v>
      </c>
      <c r="F208" s="1">
        <v>24000</v>
      </c>
      <c r="G208" s="1" t="s">
        <v>578</v>
      </c>
      <c r="H208" s="1">
        <v>0</v>
      </c>
      <c r="I208" s="1">
        <v>7000</v>
      </c>
      <c r="J208" s="1" t="s">
        <v>57</v>
      </c>
      <c r="K208" s="1" t="s">
        <v>65</v>
      </c>
    </row>
    <row r="209" spans="1:11">
      <c r="A209" s="24" t="s">
        <v>579</v>
      </c>
      <c r="B209" s="25">
        <v>46086</v>
      </c>
      <c r="C209" s="1" t="s">
        <v>317</v>
      </c>
      <c r="D209" s="1" t="s">
        <v>110</v>
      </c>
      <c r="E209" s="1">
        <v>5</v>
      </c>
      <c r="F209" s="1">
        <v>24000</v>
      </c>
      <c r="G209" s="1" t="s">
        <v>580</v>
      </c>
      <c r="H209" s="1">
        <v>0</v>
      </c>
      <c r="I209" s="1">
        <v>5000</v>
      </c>
      <c r="J209" s="1" t="s">
        <v>57</v>
      </c>
      <c r="K209" s="1" t="s">
        <v>88</v>
      </c>
    </row>
    <row r="210" spans="1:11">
      <c r="A210" s="23" t="s">
        <v>581</v>
      </c>
      <c r="B210" s="25">
        <v>46063</v>
      </c>
      <c r="C210" s="1" t="s">
        <v>337</v>
      </c>
      <c r="D210" s="1" t="s">
        <v>61</v>
      </c>
      <c r="E210" s="1">
        <v>11</v>
      </c>
      <c r="F210" s="1">
        <v>45000</v>
      </c>
      <c r="G210" s="1" t="s">
        <v>582</v>
      </c>
      <c r="H210" s="1" t="s">
        <v>70</v>
      </c>
      <c r="I210" s="1">
        <v>9000</v>
      </c>
      <c r="J210" s="1" t="s">
        <v>57</v>
      </c>
      <c r="K210" s="1" t="s">
        <v>65</v>
      </c>
    </row>
    <row r="211" spans="1:11">
      <c r="A211" s="24" t="s">
        <v>583</v>
      </c>
      <c r="B211" s="25">
        <v>46280</v>
      </c>
      <c r="C211" s="1" t="s">
        <v>271</v>
      </c>
      <c r="D211" s="1" t="s">
        <v>55</v>
      </c>
      <c r="E211" s="1">
        <v>10</v>
      </c>
      <c r="F211" s="1">
        <v>24000</v>
      </c>
      <c r="G211" s="1" t="s">
        <v>584</v>
      </c>
      <c r="H211" s="1" t="s">
        <v>63</v>
      </c>
      <c r="I211" s="1">
        <v>9000</v>
      </c>
      <c r="J211" s="1" t="s">
        <v>87</v>
      </c>
      <c r="K211" s="1" t="s">
        <v>58</v>
      </c>
    </row>
    <row r="212" spans="1:11">
      <c r="A212" s="23" t="s">
        <v>585</v>
      </c>
      <c r="B212" s="25">
        <v>46044</v>
      </c>
      <c r="C212" s="1" t="s">
        <v>353</v>
      </c>
      <c r="D212" s="1" t="s">
        <v>127</v>
      </c>
      <c r="E212" s="1">
        <v>1</v>
      </c>
      <c r="F212" s="1">
        <v>45000</v>
      </c>
      <c r="G212" s="1" t="s">
        <v>586</v>
      </c>
      <c r="H212" s="1" t="s">
        <v>63</v>
      </c>
      <c r="I212" s="1">
        <v>7000</v>
      </c>
      <c r="J212" s="1" t="s">
        <v>57</v>
      </c>
      <c r="K212" s="1" t="s">
        <v>52</v>
      </c>
    </row>
    <row r="213" spans="1:11">
      <c r="A213" s="24" t="s">
        <v>587</v>
      </c>
      <c r="B213" s="25">
        <v>46038</v>
      </c>
      <c r="C213" s="1" t="s">
        <v>234</v>
      </c>
      <c r="D213" s="1" t="s">
        <v>104</v>
      </c>
      <c r="E213" s="1">
        <v>9</v>
      </c>
      <c r="F213" s="1">
        <v>45000</v>
      </c>
      <c r="G213" s="1" t="s">
        <v>588</v>
      </c>
      <c r="H213" s="1" t="s">
        <v>70</v>
      </c>
      <c r="I213" s="1">
        <v>7000</v>
      </c>
      <c r="J213" s="1" t="s">
        <v>101</v>
      </c>
      <c r="K213" s="1" t="s">
        <v>52</v>
      </c>
    </row>
    <row r="214" spans="1:11">
      <c r="A214" s="23" t="s">
        <v>589</v>
      </c>
      <c r="B214" s="25">
        <v>46230</v>
      </c>
      <c r="C214" s="1" t="s">
        <v>314</v>
      </c>
      <c r="D214" s="1" t="s">
        <v>114</v>
      </c>
      <c r="E214" s="1">
        <v>2</v>
      </c>
      <c r="F214" s="1">
        <v>12000</v>
      </c>
      <c r="G214" s="1" t="s">
        <v>590</v>
      </c>
      <c r="H214" s="1" t="s">
        <v>77</v>
      </c>
      <c r="I214" s="1">
        <v>7000</v>
      </c>
      <c r="J214" s="1" t="s">
        <v>108</v>
      </c>
      <c r="K214" s="1" t="s">
        <v>82</v>
      </c>
    </row>
    <row r="215" spans="1:11">
      <c r="A215" s="24" t="s">
        <v>591</v>
      </c>
      <c r="B215" s="25">
        <v>46197</v>
      </c>
      <c r="C215" s="1" t="s">
        <v>213</v>
      </c>
      <c r="D215" s="1" t="s">
        <v>110</v>
      </c>
      <c r="E215" s="1">
        <v>6</v>
      </c>
      <c r="F215" s="1">
        <v>60000</v>
      </c>
      <c r="G215" s="1" t="s">
        <v>592</v>
      </c>
      <c r="H215" s="1" t="s">
        <v>70</v>
      </c>
      <c r="I215" s="1">
        <v>7000</v>
      </c>
      <c r="J215" s="1" t="s">
        <v>101</v>
      </c>
      <c r="K215" s="1" t="s">
        <v>281</v>
      </c>
    </row>
    <row r="216" spans="1:11">
      <c r="A216" s="23" t="s">
        <v>593</v>
      </c>
      <c r="B216" s="25">
        <v>46286</v>
      </c>
      <c r="C216" s="1" t="s">
        <v>60</v>
      </c>
      <c r="D216" s="1" t="s">
        <v>118</v>
      </c>
      <c r="E216" s="1">
        <v>6</v>
      </c>
      <c r="F216" s="1">
        <v>32000</v>
      </c>
      <c r="G216" s="1" t="s">
        <v>594</v>
      </c>
      <c r="H216" s="1" t="s">
        <v>70</v>
      </c>
      <c r="I216" s="1">
        <v>7000</v>
      </c>
      <c r="J216" s="1" t="s">
        <v>101</v>
      </c>
      <c r="K216" s="1" t="s">
        <v>82</v>
      </c>
    </row>
    <row r="217" spans="1:11">
      <c r="A217" s="24" t="s">
        <v>595</v>
      </c>
      <c r="B217" s="25">
        <v>46072</v>
      </c>
      <c r="C217" s="1" t="s">
        <v>261</v>
      </c>
      <c r="D217" s="1" t="s">
        <v>80</v>
      </c>
      <c r="E217" s="1">
        <v>7</v>
      </c>
      <c r="F217" s="1">
        <v>85000</v>
      </c>
      <c r="G217" s="1" t="s">
        <v>596</v>
      </c>
      <c r="H217" s="1">
        <v>0</v>
      </c>
      <c r="I217" s="1">
        <v>5000</v>
      </c>
      <c r="J217" s="1" t="s">
        <v>57</v>
      </c>
      <c r="K217" s="1" t="s">
        <v>52</v>
      </c>
    </row>
    <row r="218" spans="1:11">
      <c r="A218" s="23" t="s">
        <v>597</v>
      </c>
      <c r="B218" s="25">
        <v>46183</v>
      </c>
      <c r="C218" s="1" t="s">
        <v>394</v>
      </c>
      <c r="D218" s="1" t="s">
        <v>130</v>
      </c>
      <c r="E218" s="1">
        <v>8</v>
      </c>
      <c r="F218" s="1">
        <v>110000</v>
      </c>
      <c r="G218" s="1" t="s">
        <v>598</v>
      </c>
      <c r="H218" s="1" t="s">
        <v>70</v>
      </c>
      <c r="I218" s="1">
        <v>7000</v>
      </c>
      <c r="J218" s="1" t="s">
        <v>71</v>
      </c>
      <c r="K218" s="1" t="s">
        <v>65</v>
      </c>
    </row>
    <row r="219" spans="1:11">
      <c r="A219" s="24" t="s">
        <v>599</v>
      </c>
      <c r="B219" s="25">
        <v>46224</v>
      </c>
      <c r="C219" s="1" t="s">
        <v>334</v>
      </c>
      <c r="D219" s="1" t="s">
        <v>114</v>
      </c>
      <c r="E219" s="1">
        <v>4</v>
      </c>
      <c r="F219" s="1">
        <v>32000</v>
      </c>
      <c r="G219" s="1" t="s">
        <v>600</v>
      </c>
      <c r="H219" s="1">
        <v>0</v>
      </c>
      <c r="I219" s="1">
        <v>2500</v>
      </c>
      <c r="J219" s="1" t="s">
        <v>87</v>
      </c>
      <c r="K219" s="1" t="s">
        <v>72</v>
      </c>
    </row>
    <row r="220" spans="1:11">
      <c r="A220" s="23" t="s">
        <v>601</v>
      </c>
      <c r="B220" s="25">
        <v>46328</v>
      </c>
      <c r="C220" s="1" t="s">
        <v>294</v>
      </c>
      <c r="D220" s="1" t="s">
        <v>80</v>
      </c>
      <c r="E220" s="1">
        <v>9</v>
      </c>
      <c r="F220" s="1">
        <v>12000</v>
      </c>
      <c r="G220" s="1" t="s">
        <v>602</v>
      </c>
      <c r="H220" s="1" t="s">
        <v>77</v>
      </c>
      <c r="I220" s="1">
        <v>3500</v>
      </c>
      <c r="J220" s="1" t="s">
        <v>87</v>
      </c>
      <c r="K220" s="1" t="s">
        <v>52</v>
      </c>
    </row>
    <row r="221" spans="1:11">
      <c r="A221" s="24" t="s">
        <v>603</v>
      </c>
      <c r="B221" s="25">
        <v>46210</v>
      </c>
      <c r="C221" s="1" t="s">
        <v>98</v>
      </c>
      <c r="D221" s="1" t="s">
        <v>75</v>
      </c>
      <c r="E221" s="1">
        <v>1</v>
      </c>
      <c r="F221" s="1">
        <v>85000</v>
      </c>
      <c r="G221" s="1" t="s">
        <v>604</v>
      </c>
      <c r="H221" s="1" t="s">
        <v>63</v>
      </c>
      <c r="I221" s="1">
        <v>3500</v>
      </c>
      <c r="J221" s="1" t="s">
        <v>87</v>
      </c>
      <c r="K221" s="1" t="s">
        <v>58</v>
      </c>
    </row>
    <row r="222" spans="1:11">
      <c r="A222" s="23" t="s">
        <v>605</v>
      </c>
      <c r="B222" s="25">
        <v>46170</v>
      </c>
      <c r="C222" s="1" t="s">
        <v>138</v>
      </c>
      <c r="D222" s="1" t="s">
        <v>95</v>
      </c>
      <c r="E222" s="1">
        <v>9</v>
      </c>
      <c r="F222" s="1">
        <v>110000</v>
      </c>
      <c r="G222" s="1" t="s">
        <v>606</v>
      </c>
      <c r="H222" s="1" t="s">
        <v>70</v>
      </c>
      <c r="I222" s="1">
        <v>9000</v>
      </c>
      <c r="J222" s="1" t="s">
        <v>51</v>
      </c>
      <c r="K222" s="1" t="s">
        <v>58</v>
      </c>
    </row>
    <row r="223" spans="1:11">
      <c r="A223" s="24" t="s">
        <v>607</v>
      </c>
      <c r="B223" s="25">
        <v>46083</v>
      </c>
      <c r="C223" s="1" t="s">
        <v>172</v>
      </c>
      <c r="D223" s="1" t="s">
        <v>118</v>
      </c>
      <c r="E223" s="1">
        <v>7</v>
      </c>
      <c r="F223" s="1">
        <v>60000</v>
      </c>
      <c r="G223" s="1" t="s">
        <v>608</v>
      </c>
      <c r="H223" s="1" t="s">
        <v>70</v>
      </c>
      <c r="I223" s="1">
        <v>9000</v>
      </c>
      <c r="J223" s="1" t="s">
        <v>87</v>
      </c>
      <c r="K223" s="1" t="s">
        <v>82</v>
      </c>
    </row>
    <row r="224" spans="1:11">
      <c r="A224" s="23" t="s">
        <v>609</v>
      </c>
      <c r="B224" s="25">
        <v>46124</v>
      </c>
      <c r="C224" s="1" t="s">
        <v>213</v>
      </c>
      <c r="D224" s="1" t="s">
        <v>139</v>
      </c>
      <c r="E224" s="1">
        <v>7</v>
      </c>
      <c r="F224" s="1">
        <v>12000</v>
      </c>
      <c r="G224" s="1" t="s">
        <v>610</v>
      </c>
      <c r="H224" s="1">
        <v>0</v>
      </c>
      <c r="I224" s="1">
        <v>5000</v>
      </c>
      <c r="J224" s="1" t="s">
        <v>64</v>
      </c>
      <c r="K224" s="1" t="s">
        <v>72</v>
      </c>
    </row>
    <row r="225" spans="1:11">
      <c r="A225" s="24" t="s">
        <v>611</v>
      </c>
      <c r="B225" s="25">
        <v>46288</v>
      </c>
      <c r="C225" s="1" t="s">
        <v>612</v>
      </c>
      <c r="D225" s="1" t="s">
        <v>110</v>
      </c>
      <c r="E225" s="1">
        <v>10</v>
      </c>
      <c r="F225" s="1">
        <v>24000</v>
      </c>
      <c r="G225" s="1" t="s">
        <v>613</v>
      </c>
      <c r="H225" s="1" t="s">
        <v>63</v>
      </c>
      <c r="I225" s="1">
        <v>5000</v>
      </c>
      <c r="J225" s="1" t="s">
        <v>101</v>
      </c>
      <c r="K225" s="1" t="s">
        <v>72</v>
      </c>
    </row>
    <row r="226" spans="1:11">
      <c r="A226" s="23" t="s">
        <v>614</v>
      </c>
      <c r="B226" s="25">
        <v>46338</v>
      </c>
      <c r="C226" s="1" t="s">
        <v>314</v>
      </c>
      <c r="D226" s="1" t="s">
        <v>55</v>
      </c>
      <c r="E226" s="1">
        <v>6</v>
      </c>
      <c r="F226" s="1">
        <v>110000</v>
      </c>
      <c r="G226" s="1" t="s">
        <v>615</v>
      </c>
      <c r="H226" s="1" t="s">
        <v>70</v>
      </c>
      <c r="I226" s="1">
        <v>7000</v>
      </c>
      <c r="J226" s="1" t="s">
        <v>64</v>
      </c>
      <c r="K226" s="1" t="s">
        <v>65</v>
      </c>
    </row>
    <row r="227" spans="1:11">
      <c r="A227" s="24" t="s">
        <v>616</v>
      </c>
      <c r="B227" s="25">
        <v>46211</v>
      </c>
      <c r="C227" s="1" t="s">
        <v>299</v>
      </c>
      <c r="D227" s="1" t="s">
        <v>173</v>
      </c>
      <c r="E227" s="1">
        <v>2</v>
      </c>
      <c r="F227" s="1">
        <v>85000</v>
      </c>
      <c r="G227" s="1" t="s">
        <v>617</v>
      </c>
      <c r="H227" s="1">
        <v>0</v>
      </c>
      <c r="I227" s="1">
        <v>9000</v>
      </c>
      <c r="J227" s="1" t="s">
        <v>108</v>
      </c>
      <c r="K227" s="1" t="s">
        <v>88</v>
      </c>
    </row>
    <row r="228" spans="1:11">
      <c r="A228" s="23" t="s">
        <v>618</v>
      </c>
      <c r="B228" s="25">
        <v>46358</v>
      </c>
      <c r="C228" s="1" t="s">
        <v>169</v>
      </c>
      <c r="D228" s="1" t="s">
        <v>55</v>
      </c>
      <c r="E228" s="1">
        <v>4</v>
      </c>
      <c r="F228" s="1">
        <v>12000</v>
      </c>
      <c r="G228" s="1" t="s">
        <v>619</v>
      </c>
      <c r="H228" s="1">
        <v>0</v>
      </c>
      <c r="I228" s="1">
        <v>9000</v>
      </c>
      <c r="J228" s="1" t="s">
        <v>51</v>
      </c>
      <c r="K228" s="1" t="s">
        <v>52</v>
      </c>
    </row>
    <row r="229" spans="1:11">
      <c r="A229" s="24" t="s">
        <v>620</v>
      </c>
      <c r="B229" s="25">
        <v>46340</v>
      </c>
      <c r="C229" s="1" t="s">
        <v>369</v>
      </c>
      <c r="D229" s="1" t="s">
        <v>110</v>
      </c>
      <c r="E229" s="1">
        <v>11</v>
      </c>
      <c r="F229" s="1">
        <v>32000</v>
      </c>
      <c r="G229" s="1" t="s">
        <v>621</v>
      </c>
      <c r="H229" s="1">
        <v>0</v>
      </c>
      <c r="I229" s="1">
        <v>3500</v>
      </c>
      <c r="J229" s="1" t="s">
        <v>71</v>
      </c>
      <c r="K229" s="1" t="s">
        <v>72</v>
      </c>
    </row>
    <row r="230" spans="1:11">
      <c r="A230" s="23" t="s">
        <v>622</v>
      </c>
      <c r="B230" s="25">
        <v>46183</v>
      </c>
      <c r="C230" s="1" t="s">
        <v>248</v>
      </c>
      <c r="D230" s="1" t="s">
        <v>110</v>
      </c>
      <c r="E230" s="1">
        <v>7</v>
      </c>
      <c r="F230" s="1">
        <v>32000</v>
      </c>
      <c r="G230" s="1" t="s">
        <v>623</v>
      </c>
      <c r="H230" s="1" t="s">
        <v>63</v>
      </c>
      <c r="I230" s="1">
        <v>7000</v>
      </c>
      <c r="J230" s="1" t="s">
        <v>64</v>
      </c>
      <c r="K230" s="1" t="s">
        <v>52</v>
      </c>
    </row>
    <row r="231" spans="1:11">
      <c r="A231" s="24" t="s">
        <v>624</v>
      </c>
      <c r="B231" s="25">
        <v>46054</v>
      </c>
      <c r="C231" s="1" t="s">
        <v>411</v>
      </c>
      <c r="D231" s="1" t="s">
        <v>139</v>
      </c>
      <c r="E231" s="1">
        <v>4</v>
      </c>
      <c r="F231" s="1">
        <v>60000</v>
      </c>
      <c r="G231" s="1" t="s">
        <v>625</v>
      </c>
      <c r="H231" s="1" t="s">
        <v>77</v>
      </c>
      <c r="I231" s="1">
        <v>9000</v>
      </c>
      <c r="J231" s="1" t="s">
        <v>108</v>
      </c>
      <c r="K231" s="1" t="s">
        <v>88</v>
      </c>
    </row>
    <row r="232" spans="1:11">
      <c r="A232" s="23" t="s">
        <v>626</v>
      </c>
      <c r="B232" s="25">
        <v>46111</v>
      </c>
      <c r="C232" s="1" t="s">
        <v>612</v>
      </c>
      <c r="D232" s="1" t="s">
        <v>190</v>
      </c>
      <c r="E232" s="1">
        <v>6</v>
      </c>
      <c r="F232" s="1">
        <v>60000</v>
      </c>
      <c r="G232" s="1" t="s">
        <v>627</v>
      </c>
      <c r="H232" s="1" t="s">
        <v>70</v>
      </c>
      <c r="I232" s="1">
        <v>9000</v>
      </c>
      <c r="J232" s="1" t="s">
        <v>108</v>
      </c>
      <c r="K232" s="1" t="s">
        <v>82</v>
      </c>
    </row>
    <row r="233" spans="1:11">
      <c r="A233" s="24" t="s">
        <v>628</v>
      </c>
      <c r="B233" s="25">
        <v>46149</v>
      </c>
      <c r="C233" s="1" t="s">
        <v>206</v>
      </c>
      <c r="D233" s="1" t="s">
        <v>190</v>
      </c>
      <c r="E233" s="1">
        <v>5</v>
      </c>
      <c r="F233" s="1">
        <v>32000</v>
      </c>
      <c r="G233" s="1" t="s">
        <v>629</v>
      </c>
      <c r="H233" s="1" t="s">
        <v>70</v>
      </c>
      <c r="I233" s="1">
        <v>5000</v>
      </c>
      <c r="J233" s="1" t="s">
        <v>51</v>
      </c>
      <c r="K233" s="1" t="s">
        <v>82</v>
      </c>
    </row>
    <row r="234" spans="1:11">
      <c r="A234" s="23" t="s">
        <v>630</v>
      </c>
      <c r="B234" s="25">
        <v>46376</v>
      </c>
      <c r="C234" s="1" t="s">
        <v>308</v>
      </c>
      <c r="D234" s="1" t="s">
        <v>68</v>
      </c>
      <c r="E234" s="1">
        <v>8</v>
      </c>
      <c r="F234" s="1">
        <v>60000</v>
      </c>
      <c r="G234" s="1" t="s">
        <v>631</v>
      </c>
      <c r="H234" s="1" t="s">
        <v>70</v>
      </c>
      <c r="I234" s="1">
        <v>5000</v>
      </c>
      <c r="J234" s="1"/>
      <c r="K234" s="1" t="s">
        <v>58</v>
      </c>
    </row>
    <row r="235" spans="1:11">
      <c r="A235" s="24" t="s">
        <v>632</v>
      </c>
      <c r="B235" s="25">
        <v>46369</v>
      </c>
      <c r="C235" s="1" t="s">
        <v>348</v>
      </c>
      <c r="D235" s="1" t="s">
        <v>95</v>
      </c>
      <c r="E235" s="1">
        <v>7</v>
      </c>
      <c r="F235" s="1">
        <v>60000</v>
      </c>
      <c r="G235" s="1" t="s">
        <v>633</v>
      </c>
      <c r="H235" s="1">
        <v>0</v>
      </c>
      <c r="I235" s="1">
        <v>5000</v>
      </c>
      <c r="J235" s="1" t="s">
        <v>71</v>
      </c>
      <c r="K235" s="1" t="s">
        <v>88</v>
      </c>
    </row>
    <row r="236" spans="1:11">
      <c r="A236" s="23" t="s">
        <v>634</v>
      </c>
      <c r="B236" s="25">
        <v>46063</v>
      </c>
      <c r="C236" s="1" t="s">
        <v>203</v>
      </c>
      <c r="D236" s="1" t="s">
        <v>114</v>
      </c>
      <c r="E236" s="1">
        <v>11</v>
      </c>
      <c r="F236" s="1">
        <v>45000</v>
      </c>
      <c r="G236" s="1" t="s">
        <v>635</v>
      </c>
      <c r="H236" s="1">
        <v>0</v>
      </c>
      <c r="I236" s="1">
        <v>3500</v>
      </c>
      <c r="J236" s="1" t="s">
        <v>64</v>
      </c>
      <c r="K236" s="1" t="s">
        <v>58</v>
      </c>
    </row>
    <row r="237" spans="1:11">
      <c r="A237" s="24" t="s">
        <v>636</v>
      </c>
      <c r="B237" s="25">
        <v>46161</v>
      </c>
      <c r="C237" s="1" t="s">
        <v>60</v>
      </c>
      <c r="D237" s="1" t="s">
        <v>91</v>
      </c>
      <c r="E237" s="1">
        <v>5</v>
      </c>
      <c r="F237" s="1">
        <v>24000</v>
      </c>
      <c r="G237" s="1" t="s">
        <v>637</v>
      </c>
      <c r="H237" s="1" t="s">
        <v>63</v>
      </c>
      <c r="I237" s="1">
        <v>3500</v>
      </c>
      <c r="J237" s="1" t="s">
        <v>101</v>
      </c>
      <c r="K237" s="1" t="s">
        <v>65</v>
      </c>
    </row>
    <row r="238" spans="1:11">
      <c r="A238" s="23" t="s">
        <v>638</v>
      </c>
      <c r="B238" s="25">
        <v>46365</v>
      </c>
      <c r="C238" s="1" t="s">
        <v>164</v>
      </c>
      <c r="D238" s="1" t="s">
        <v>85</v>
      </c>
      <c r="E238" s="1">
        <v>11</v>
      </c>
      <c r="F238" s="1">
        <v>32000</v>
      </c>
      <c r="G238" s="1" t="s">
        <v>639</v>
      </c>
      <c r="H238" s="1" t="s">
        <v>77</v>
      </c>
      <c r="I238" s="1">
        <v>5000</v>
      </c>
      <c r="J238" s="1" t="s">
        <v>51</v>
      </c>
      <c r="K238" s="1" t="s">
        <v>72</v>
      </c>
    </row>
    <row r="239" spans="1:11">
      <c r="A239" s="24" t="s">
        <v>640</v>
      </c>
      <c r="B239" s="25">
        <v>46074</v>
      </c>
      <c r="C239" s="1" t="s">
        <v>411</v>
      </c>
      <c r="D239" s="1" t="s">
        <v>49</v>
      </c>
      <c r="E239" s="1">
        <v>9</v>
      </c>
      <c r="F239" s="1">
        <v>24000</v>
      </c>
      <c r="G239" s="1" t="s">
        <v>641</v>
      </c>
      <c r="H239" s="1" t="s">
        <v>77</v>
      </c>
      <c r="I239" s="1">
        <v>7000</v>
      </c>
      <c r="J239" s="1" t="s">
        <v>51</v>
      </c>
      <c r="K239" s="1" t="s">
        <v>82</v>
      </c>
    </row>
    <row r="240" spans="1:11">
      <c r="A240" s="23" t="s">
        <v>642</v>
      </c>
      <c r="B240" s="25">
        <v>46170</v>
      </c>
      <c r="C240" s="1" t="s">
        <v>408</v>
      </c>
      <c r="D240" s="1" t="s">
        <v>80</v>
      </c>
      <c r="E240" s="1">
        <v>11</v>
      </c>
      <c r="F240" s="1">
        <v>12000</v>
      </c>
      <c r="G240" s="1" t="s">
        <v>643</v>
      </c>
      <c r="H240" s="1">
        <v>0</v>
      </c>
      <c r="I240" s="1">
        <v>9000</v>
      </c>
      <c r="J240" s="1" t="s">
        <v>101</v>
      </c>
      <c r="K240" s="1" t="s">
        <v>58</v>
      </c>
    </row>
    <row r="241" spans="1:11">
      <c r="A241" s="24" t="s">
        <v>644</v>
      </c>
      <c r="B241" s="25">
        <v>46042</v>
      </c>
      <c r="C241" s="1" t="s">
        <v>210</v>
      </c>
      <c r="D241" s="1" t="s">
        <v>146</v>
      </c>
      <c r="E241" s="1">
        <v>3</v>
      </c>
      <c r="F241" s="1">
        <v>12000</v>
      </c>
      <c r="G241" s="1" t="s">
        <v>645</v>
      </c>
      <c r="H241" s="1" t="s">
        <v>77</v>
      </c>
      <c r="I241" s="1">
        <v>7000</v>
      </c>
      <c r="J241" s="1" t="s">
        <v>101</v>
      </c>
      <c r="K241" s="1" t="s">
        <v>52</v>
      </c>
    </row>
    <row r="242" spans="1:11">
      <c r="A242" s="23" t="s">
        <v>646</v>
      </c>
      <c r="B242" s="25">
        <v>46171</v>
      </c>
      <c r="C242" s="1" t="s">
        <v>193</v>
      </c>
      <c r="D242" s="1" t="s">
        <v>49</v>
      </c>
      <c r="E242" s="1">
        <v>5</v>
      </c>
      <c r="F242" s="1">
        <v>18000</v>
      </c>
      <c r="G242" s="1" t="s">
        <v>647</v>
      </c>
      <c r="H242" s="1" t="s">
        <v>70</v>
      </c>
      <c r="I242" s="1">
        <v>5000</v>
      </c>
      <c r="J242" s="1" t="s">
        <v>108</v>
      </c>
      <c r="K242" s="1" t="s">
        <v>52</v>
      </c>
    </row>
    <row r="243" spans="1:11">
      <c r="A243" s="24" t="s">
        <v>648</v>
      </c>
      <c r="B243" s="25">
        <v>46301</v>
      </c>
      <c r="C243" s="1" t="s">
        <v>164</v>
      </c>
      <c r="D243" s="1" t="s">
        <v>143</v>
      </c>
      <c r="E243" s="1">
        <v>3</v>
      </c>
      <c r="F243" s="1">
        <v>110000</v>
      </c>
      <c r="G243" s="1" t="s">
        <v>649</v>
      </c>
      <c r="H243" s="1">
        <v>0</v>
      </c>
      <c r="I243" s="1">
        <v>5000</v>
      </c>
      <c r="J243" s="1" t="s">
        <v>101</v>
      </c>
      <c r="K243" s="1" t="s">
        <v>52</v>
      </c>
    </row>
    <row r="244" spans="1:11">
      <c r="A244" s="23" t="s">
        <v>650</v>
      </c>
      <c r="B244" s="25">
        <v>46257</v>
      </c>
      <c r="C244" s="1" t="s">
        <v>337</v>
      </c>
      <c r="D244" s="1" t="s">
        <v>91</v>
      </c>
      <c r="E244" s="1">
        <v>3</v>
      </c>
      <c r="F244" s="1">
        <v>12000</v>
      </c>
      <c r="G244" s="1" t="s">
        <v>651</v>
      </c>
      <c r="H244" s="1" t="s">
        <v>70</v>
      </c>
      <c r="I244" s="1">
        <v>9000</v>
      </c>
      <c r="J244" s="1" t="s">
        <v>51</v>
      </c>
      <c r="K244" s="1" t="s">
        <v>82</v>
      </c>
    </row>
    <row r="245" spans="1:11">
      <c r="A245" s="24" t="s">
        <v>652</v>
      </c>
      <c r="B245" s="25">
        <v>46112</v>
      </c>
      <c r="C245" s="1" t="s">
        <v>417</v>
      </c>
      <c r="D245" s="1" t="s">
        <v>104</v>
      </c>
      <c r="E245" s="1">
        <v>7</v>
      </c>
      <c r="F245" s="1">
        <v>85000</v>
      </c>
      <c r="G245" s="1" t="s">
        <v>653</v>
      </c>
      <c r="H245" s="1">
        <v>0</v>
      </c>
      <c r="I245" s="1">
        <v>7000</v>
      </c>
      <c r="J245" s="1" t="s">
        <v>51</v>
      </c>
      <c r="K245" s="1" t="s">
        <v>65</v>
      </c>
    </row>
    <row r="246" spans="1:11">
      <c r="A246" s="23" t="s">
        <v>654</v>
      </c>
      <c r="B246" s="25">
        <v>46117</v>
      </c>
      <c r="C246" s="1" t="s">
        <v>411</v>
      </c>
      <c r="D246" s="1" t="s">
        <v>143</v>
      </c>
      <c r="E246" s="1">
        <v>6</v>
      </c>
      <c r="F246" s="1">
        <v>32000</v>
      </c>
      <c r="G246" s="1" t="s">
        <v>655</v>
      </c>
      <c r="H246" s="1" t="s">
        <v>77</v>
      </c>
      <c r="I246" s="1">
        <v>3500</v>
      </c>
      <c r="J246" s="1" t="s">
        <v>108</v>
      </c>
      <c r="K246" s="1" t="s">
        <v>88</v>
      </c>
    </row>
    <row r="247" spans="1:11">
      <c r="A247" s="24" t="s">
        <v>656</v>
      </c>
      <c r="B247" s="25">
        <v>46191</v>
      </c>
      <c r="C247" s="1" t="s">
        <v>314</v>
      </c>
      <c r="D247" s="1" t="s">
        <v>55</v>
      </c>
      <c r="E247" s="1">
        <v>12</v>
      </c>
      <c r="F247" s="1">
        <v>12000</v>
      </c>
      <c r="G247" s="1" t="s">
        <v>657</v>
      </c>
      <c r="H247" s="1" t="s">
        <v>70</v>
      </c>
      <c r="I247" s="1">
        <v>3500</v>
      </c>
      <c r="J247" s="1" t="s">
        <v>71</v>
      </c>
      <c r="K247" s="1" t="s">
        <v>52</v>
      </c>
    </row>
    <row r="248" spans="1:11">
      <c r="A248" s="23" t="s">
        <v>658</v>
      </c>
      <c r="B248" s="25">
        <v>46083</v>
      </c>
      <c r="C248" s="1" t="s">
        <v>94</v>
      </c>
      <c r="D248" s="1" t="s">
        <v>80</v>
      </c>
      <c r="E248" s="1">
        <v>3</v>
      </c>
      <c r="F248" s="1">
        <v>85000</v>
      </c>
      <c r="G248" s="1" t="s">
        <v>659</v>
      </c>
      <c r="H248" s="1" t="s">
        <v>70</v>
      </c>
      <c r="I248" s="1">
        <v>2500</v>
      </c>
      <c r="J248" s="1" t="s">
        <v>51</v>
      </c>
      <c r="K248" s="1" t="s">
        <v>88</v>
      </c>
    </row>
    <row r="249" spans="1:11">
      <c r="A249" s="24" t="s">
        <v>660</v>
      </c>
      <c r="B249" s="25">
        <v>46211</v>
      </c>
      <c r="C249" s="1" t="s">
        <v>417</v>
      </c>
      <c r="D249" s="1" t="s">
        <v>85</v>
      </c>
      <c r="E249" s="1">
        <v>4</v>
      </c>
      <c r="F249" s="1">
        <v>24000</v>
      </c>
      <c r="G249" s="1" t="s">
        <v>661</v>
      </c>
      <c r="H249" s="1" t="s">
        <v>77</v>
      </c>
      <c r="I249" s="1">
        <v>9000</v>
      </c>
      <c r="J249" s="1" t="s">
        <v>87</v>
      </c>
      <c r="K249" s="1" t="s">
        <v>72</v>
      </c>
    </row>
    <row r="250" spans="1:11">
      <c r="A250" s="23" t="s">
        <v>662</v>
      </c>
      <c r="B250" s="25">
        <v>46382</v>
      </c>
      <c r="C250" s="1" t="s">
        <v>79</v>
      </c>
      <c r="D250" s="1" t="s">
        <v>143</v>
      </c>
      <c r="E250" s="1">
        <v>9</v>
      </c>
      <c r="F250" s="1">
        <v>32000</v>
      </c>
      <c r="G250" s="1" t="s">
        <v>663</v>
      </c>
      <c r="H250" s="1" t="s">
        <v>63</v>
      </c>
      <c r="I250" s="1">
        <v>2500</v>
      </c>
      <c r="J250" s="1" t="s">
        <v>57</v>
      </c>
      <c r="K250" s="1" t="s">
        <v>72</v>
      </c>
    </row>
    <row r="251" spans="1:11">
      <c r="A251" s="24" t="s">
        <v>664</v>
      </c>
      <c r="B251" s="25">
        <v>46293</v>
      </c>
      <c r="C251" s="1" t="s">
        <v>665</v>
      </c>
      <c r="D251" s="1" t="s">
        <v>127</v>
      </c>
      <c r="E251" s="1">
        <v>10</v>
      </c>
      <c r="F251" s="1">
        <v>18000</v>
      </c>
      <c r="G251" s="1" t="s">
        <v>666</v>
      </c>
      <c r="H251" s="1" t="s">
        <v>63</v>
      </c>
      <c r="I251" s="1">
        <v>9000</v>
      </c>
      <c r="J251" s="1" t="s">
        <v>101</v>
      </c>
      <c r="K251" s="1" t="s">
        <v>58</v>
      </c>
    </row>
    <row r="252" spans="1:11">
      <c r="A252" s="23" t="s">
        <v>667</v>
      </c>
      <c r="B252" s="25">
        <v>46297</v>
      </c>
      <c r="C252" s="1" t="s">
        <v>668</v>
      </c>
      <c r="D252" s="1" t="s">
        <v>130</v>
      </c>
      <c r="E252" s="1">
        <v>6</v>
      </c>
      <c r="F252" s="1">
        <v>110000</v>
      </c>
      <c r="G252" s="1" t="s">
        <v>669</v>
      </c>
      <c r="H252" s="1">
        <v>0</v>
      </c>
      <c r="I252" s="1">
        <v>9000</v>
      </c>
      <c r="J252" s="1" t="s">
        <v>108</v>
      </c>
      <c r="K252" s="1" t="s">
        <v>65</v>
      </c>
    </row>
    <row r="253" spans="1:11">
      <c r="A253" s="24" t="s">
        <v>670</v>
      </c>
      <c r="B253" s="25">
        <v>46284</v>
      </c>
      <c r="C253" s="1" t="s">
        <v>526</v>
      </c>
      <c r="D253" s="1" t="s">
        <v>161</v>
      </c>
      <c r="E253" s="1">
        <v>8</v>
      </c>
      <c r="F253" s="1">
        <v>24000</v>
      </c>
      <c r="G253" s="1" t="s">
        <v>671</v>
      </c>
      <c r="H253" s="1" t="s">
        <v>77</v>
      </c>
      <c r="I253" s="1">
        <v>9000</v>
      </c>
      <c r="J253" s="1" t="s">
        <v>71</v>
      </c>
      <c r="K253" s="1" t="s">
        <v>58</v>
      </c>
    </row>
    <row r="254" spans="1:11">
      <c r="A254" s="23" t="s">
        <v>672</v>
      </c>
      <c r="B254" s="25">
        <v>46259</v>
      </c>
      <c r="C254" s="1" t="s">
        <v>275</v>
      </c>
      <c r="D254" s="1" t="s">
        <v>220</v>
      </c>
      <c r="E254" s="1">
        <v>1</v>
      </c>
      <c r="F254" s="1">
        <v>85000</v>
      </c>
      <c r="G254" s="1" t="s">
        <v>673</v>
      </c>
      <c r="H254" s="1">
        <v>0</v>
      </c>
      <c r="I254" s="1">
        <v>3500</v>
      </c>
      <c r="J254" s="1" t="s">
        <v>57</v>
      </c>
      <c r="K254" s="1" t="s">
        <v>65</v>
      </c>
    </row>
    <row r="255" spans="1:11">
      <c r="A255" s="24" t="s">
        <v>674</v>
      </c>
      <c r="B255" s="25">
        <v>46046</v>
      </c>
      <c r="C255" s="1" t="s">
        <v>67</v>
      </c>
      <c r="D255" s="1" t="s">
        <v>75</v>
      </c>
      <c r="E255" s="1">
        <v>12</v>
      </c>
      <c r="F255" s="1">
        <v>18000</v>
      </c>
      <c r="G255" s="1" t="s">
        <v>675</v>
      </c>
      <c r="H255" s="1">
        <v>0</v>
      </c>
      <c r="I255" s="1">
        <v>2500</v>
      </c>
      <c r="J255" s="1" t="s">
        <v>108</v>
      </c>
      <c r="K255" s="1" t="s">
        <v>65</v>
      </c>
    </row>
    <row r="256" spans="1:11">
      <c r="A256" s="23" t="s">
        <v>676</v>
      </c>
      <c r="B256" s="25">
        <v>46169</v>
      </c>
      <c r="C256" s="1" t="s">
        <v>154</v>
      </c>
      <c r="D256" s="1" t="s">
        <v>130</v>
      </c>
      <c r="E256" s="1">
        <v>3</v>
      </c>
      <c r="F256" s="1">
        <v>85000</v>
      </c>
      <c r="G256" s="1" t="s">
        <v>677</v>
      </c>
      <c r="H256" s="1" t="s">
        <v>77</v>
      </c>
      <c r="I256" s="1">
        <v>7000</v>
      </c>
      <c r="J256" s="1" t="s">
        <v>64</v>
      </c>
      <c r="K256" s="1" t="s">
        <v>72</v>
      </c>
    </row>
    <row r="257" spans="1:11">
      <c r="A257" s="24" t="s">
        <v>678</v>
      </c>
      <c r="B257" s="25">
        <v>46215</v>
      </c>
      <c r="C257" s="1" t="s">
        <v>84</v>
      </c>
      <c r="D257" s="1" t="s">
        <v>173</v>
      </c>
      <c r="E257" s="1">
        <v>11</v>
      </c>
      <c r="F257" s="1">
        <v>24000</v>
      </c>
      <c r="G257" s="1" t="s">
        <v>679</v>
      </c>
      <c r="H257" s="1" t="s">
        <v>70</v>
      </c>
      <c r="I257" s="1">
        <v>2500</v>
      </c>
      <c r="J257" s="1" t="s">
        <v>101</v>
      </c>
      <c r="K257" s="1" t="s">
        <v>58</v>
      </c>
    </row>
    <row r="258" spans="1:11">
      <c r="A258" s="23" t="s">
        <v>680</v>
      </c>
      <c r="B258" s="25">
        <v>46224</v>
      </c>
      <c r="C258" s="1" t="s">
        <v>164</v>
      </c>
      <c r="D258" s="1" t="s">
        <v>110</v>
      </c>
      <c r="E258" s="1">
        <v>12</v>
      </c>
      <c r="F258" s="1">
        <v>32000</v>
      </c>
      <c r="G258" s="1" t="s">
        <v>681</v>
      </c>
      <c r="H258" s="1">
        <v>0</v>
      </c>
      <c r="I258" s="1">
        <v>5000</v>
      </c>
      <c r="J258" s="1" t="s">
        <v>108</v>
      </c>
      <c r="K258" s="1" t="s">
        <v>52</v>
      </c>
    </row>
    <row r="259" spans="1:11">
      <c r="A259" s="24" t="s">
        <v>682</v>
      </c>
      <c r="B259" s="25">
        <v>46301</v>
      </c>
      <c r="C259" s="1" t="s">
        <v>67</v>
      </c>
      <c r="D259" s="1" t="s">
        <v>190</v>
      </c>
      <c r="E259" s="1">
        <v>7</v>
      </c>
      <c r="F259" s="1">
        <v>32000</v>
      </c>
      <c r="G259" s="1" t="s">
        <v>683</v>
      </c>
      <c r="H259" s="1" t="s">
        <v>70</v>
      </c>
      <c r="I259" s="1">
        <v>3500</v>
      </c>
      <c r="J259" s="1" t="s">
        <v>87</v>
      </c>
      <c r="K259" s="1" t="s">
        <v>82</v>
      </c>
    </row>
    <row r="260" spans="1:11">
      <c r="A260" s="23" t="s">
        <v>684</v>
      </c>
      <c r="B260" s="25">
        <v>46080</v>
      </c>
      <c r="C260" s="1" t="s">
        <v>193</v>
      </c>
      <c r="D260" s="1" t="s">
        <v>173</v>
      </c>
      <c r="E260" s="1">
        <v>7</v>
      </c>
      <c r="F260" s="1">
        <v>12000</v>
      </c>
      <c r="G260" s="1" t="s">
        <v>685</v>
      </c>
      <c r="H260" s="1">
        <v>0</v>
      </c>
      <c r="I260" s="1">
        <v>2500</v>
      </c>
      <c r="J260" s="1" t="s">
        <v>57</v>
      </c>
      <c r="K260" s="1" t="s">
        <v>65</v>
      </c>
    </row>
    <row r="261" spans="1:11">
      <c r="A261" s="24" t="s">
        <v>686</v>
      </c>
      <c r="B261" s="25">
        <v>46251</v>
      </c>
      <c r="C261" s="1" t="s">
        <v>113</v>
      </c>
      <c r="D261" s="1" t="s">
        <v>173</v>
      </c>
      <c r="E261" s="1">
        <v>12</v>
      </c>
      <c r="F261" s="1">
        <v>12000</v>
      </c>
      <c r="G261" s="1" t="s">
        <v>687</v>
      </c>
      <c r="H261" s="1">
        <v>0</v>
      </c>
      <c r="I261" s="1">
        <v>7000</v>
      </c>
      <c r="J261" s="1" t="s">
        <v>108</v>
      </c>
      <c r="K261" s="1" t="s">
        <v>82</v>
      </c>
    </row>
    <row r="262" spans="1:11">
      <c r="A262" s="23" t="s">
        <v>688</v>
      </c>
      <c r="B262" s="25">
        <v>46299</v>
      </c>
      <c r="C262" s="1" t="s">
        <v>160</v>
      </c>
      <c r="D262" s="1" t="s">
        <v>161</v>
      </c>
      <c r="E262" s="1">
        <v>3</v>
      </c>
      <c r="F262" s="1">
        <v>45000</v>
      </c>
      <c r="G262" s="1" t="s">
        <v>689</v>
      </c>
      <c r="H262" s="1" t="s">
        <v>63</v>
      </c>
      <c r="I262" s="1">
        <v>5000</v>
      </c>
      <c r="J262" s="1" t="s">
        <v>57</v>
      </c>
      <c r="K262" s="1" t="s">
        <v>58</v>
      </c>
    </row>
    <row r="263" spans="1:11">
      <c r="A263" s="24" t="s">
        <v>690</v>
      </c>
      <c r="B263" s="25">
        <v>46367</v>
      </c>
      <c r="C263" s="1" t="s">
        <v>408</v>
      </c>
      <c r="D263" s="1" t="s">
        <v>85</v>
      </c>
      <c r="E263" s="1">
        <v>5</v>
      </c>
      <c r="F263" s="1">
        <v>24000</v>
      </c>
      <c r="G263" s="1" t="s">
        <v>691</v>
      </c>
      <c r="H263" s="1" t="s">
        <v>63</v>
      </c>
      <c r="I263" s="1">
        <v>3500</v>
      </c>
      <c r="J263" s="1" t="s">
        <v>108</v>
      </c>
      <c r="K263" s="1" t="s">
        <v>88</v>
      </c>
    </row>
    <row r="264" spans="1:11">
      <c r="A264" s="23" t="s">
        <v>692</v>
      </c>
      <c r="B264" s="25">
        <v>46163</v>
      </c>
      <c r="C264" s="1" t="s">
        <v>320</v>
      </c>
      <c r="D264" s="1" t="s">
        <v>190</v>
      </c>
      <c r="E264" s="1">
        <v>10</v>
      </c>
      <c r="F264" s="1">
        <v>24000</v>
      </c>
      <c r="G264" s="1" t="s">
        <v>693</v>
      </c>
      <c r="H264" s="1" t="s">
        <v>77</v>
      </c>
      <c r="I264" s="1">
        <v>9000</v>
      </c>
      <c r="J264" s="1" t="s">
        <v>108</v>
      </c>
      <c r="K264" s="1" t="s">
        <v>65</v>
      </c>
    </row>
    <row r="265" spans="1:11">
      <c r="A265" s="24" t="s">
        <v>694</v>
      </c>
      <c r="B265" s="25">
        <v>46199</v>
      </c>
      <c r="C265" s="1" t="s">
        <v>369</v>
      </c>
      <c r="D265" s="1" t="s">
        <v>139</v>
      </c>
      <c r="E265" s="1">
        <v>6</v>
      </c>
      <c r="F265" s="1">
        <v>85000</v>
      </c>
      <c r="G265" s="1" t="s">
        <v>695</v>
      </c>
      <c r="H265" s="1" t="s">
        <v>70</v>
      </c>
      <c r="I265" s="1">
        <v>7000</v>
      </c>
      <c r="J265" s="1" t="s">
        <v>101</v>
      </c>
      <c r="K265" s="1" t="s">
        <v>58</v>
      </c>
    </row>
    <row r="266" spans="1:11">
      <c r="A266" s="23" t="s">
        <v>696</v>
      </c>
      <c r="B266" s="25">
        <v>46265</v>
      </c>
      <c r="C266" s="1" t="s">
        <v>198</v>
      </c>
      <c r="D266" s="1" t="s">
        <v>85</v>
      </c>
      <c r="E266" s="1">
        <v>5</v>
      </c>
      <c r="F266" s="1">
        <v>24000</v>
      </c>
      <c r="G266" s="1" t="s">
        <v>697</v>
      </c>
      <c r="H266" s="1">
        <v>0</v>
      </c>
      <c r="I266" s="1">
        <v>9000</v>
      </c>
      <c r="J266" s="1" t="s">
        <v>108</v>
      </c>
      <c r="K266" s="1" t="s">
        <v>72</v>
      </c>
    </row>
    <row r="267" spans="1:11">
      <c r="A267" s="24" t="s">
        <v>698</v>
      </c>
      <c r="B267" s="25">
        <v>46308</v>
      </c>
      <c r="C267" s="1" t="s">
        <v>164</v>
      </c>
      <c r="D267" s="1" t="s">
        <v>110</v>
      </c>
      <c r="E267" s="1">
        <v>7</v>
      </c>
      <c r="F267" s="1">
        <v>32000</v>
      </c>
      <c r="G267" s="1" t="s">
        <v>699</v>
      </c>
      <c r="H267" s="1" t="s">
        <v>70</v>
      </c>
      <c r="I267" s="1">
        <v>2500</v>
      </c>
      <c r="J267" s="1" t="s">
        <v>108</v>
      </c>
      <c r="K267" s="1" t="s">
        <v>88</v>
      </c>
    </row>
    <row r="268" spans="1:11">
      <c r="A268" s="23" t="s">
        <v>700</v>
      </c>
      <c r="B268" s="25">
        <v>46070</v>
      </c>
      <c r="C268" s="1" t="s">
        <v>254</v>
      </c>
      <c r="D268" s="1" t="s">
        <v>220</v>
      </c>
      <c r="E268" s="1">
        <v>4</v>
      </c>
      <c r="F268" s="1">
        <v>12000</v>
      </c>
      <c r="G268" s="1" t="s">
        <v>701</v>
      </c>
      <c r="H268" s="1" t="s">
        <v>63</v>
      </c>
      <c r="I268" s="1">
        <v>9000</v>
      </c>
      <c r="J268" s="1" t="s">
        <v>71</v>
      </c>
      <c r="K268" s="1" t="s">
        <v>65</v>
      </c>
    </row>
    <row r="269" spans="1:11">
      <c r="A269" s="24" t="s">
        <v>702</v>
      </c>
      <c r="B269" s="25">
        <v>46119</v>
      </c>
      <c r="C269" s="1" t="s">
        <v>329</v>
      </c>
      <c r="D269" s="1" t="s">
        <v>220</v>
      </c>
      <c r="E269" s="1">
        <v>11</v>
      </c>
      <c r="F269" s="1">
        <v>32000</v>
      </c>
      <c r="G269" s="1" t="s">
        <v>703</v>
      </c>
      <c r="H269" s="1" t="s">
        <v>70</v>
      </c>
      <c r="I269" s="1">
        <v>5000</v>
      </c>
      <c r="J269" s="1" t="s">
        <v>71</v>
      </c>
      <c r="K269" s="1" t="s">
        <v>82</v>
      </c>
    </row>
    <row r="270" spans="1:11">
      <c r="A270" s="23" t="s">
        <v>704</v>
      </c>
      <c r="B270" s="25">
        <v>46120</v>
      </c>
      <c r="C270" s="1" t="s">
        <v>219</v>
      </c>
      <c r="D270" s="1" t="s">
        <v>220</v>
      </c>
      <c r="E270" s="1">
        <v>8</v>
      </c>
      <c r="F270" s="1">
        <v>32000</v>
      </c>
      <c r="G270" s="1" t="s">
        <v>705</v>
      </c>
      <c r="H270" s="1">
        <v>0</v>
      </c>
      <c r="I270" s="1">
        <v>7000</v>
      </c>
      <c r="J270" s="1" t="s">
        <v>101</v>
      </c>
      <c r="K270" s="1" t="s">
        <v>58</v>
      </c>
    </row>
    <row r="271" spans="1:11">
      <c r="A271" s="24" t="s">
        <v>706</v>
      </c>
      <c r="B271" s="25">
        <v>46187</v>
      </c>
      <c r="C271" s="1" t="s">
        <v>179</v>
      </c>
      <c r="D271" s="1" t="s">
        <v>95</v>
      </c>
      <c r="E271" s="1">
        <v>8</v>
      </c>
      <c r="F271" s="1">
        <v>60000</v>
      </c>
      <c r="G271" s="1" t="s">
        <v>707</v>
      </c>
      <c r="H271" s="1" t="s">
        <v>70</v>
      </c>
      <c r="I271" s="1">
        <v>9000</v>
      </c>
      <c r="J271" s="1" t="s">
        <v>108</v>
      </c>
      <c r="K271" s="1" t="s">
        <v>72</v>
      </c>
    </row>
    <row r="272" spans="1:11">
      <c r="A272" s="23" t="s">
        <v>708</v>
      </c>
      <c r="B272" s="25">
        <v>46073</v>
      </c>
      <c r="C272" s="1" t="s">
        <v>294</v>
      </c>
      <c r="D272" s="1" t="s">
        <v>68</v>
      </c>
      <c r="E272" s="1">
        <v>4</v>
      </c>
      <c r="F272" s="1">
        <v>60000</v>
      </c>
      <c r="G272" s="1" t="s">
        <v>709</v>
      </c>
      <c r="H272" s="1">
        <v>0</v>
      </c>
      <c r="I272" s="1">
        <v>9000</v>
      </c>
      <c r="J272" s="1" t="s">
        <v>64</v>
      </c>
      <c r="K272" s="1" t="s">
        <v>82</v>
      </c>
    </row>
    <row r="273" spans="1:11">
      <c r="A273" s="24" t="s">
        <v>710</v>
      </c>
      <c r="B273" s="25">
        <v>46097</v>
      </c>
      <c r="C273" s="1" t="s">
        <v>251</v>
      </c>
      <c r="D273" s="1" t="s">
        <v>99</v>
      </c>
      <c r="E273" s="1">
        <v>9</v>
      </c>
      <c r="F273" s="1">
        <v>85000</v>
      </c>
      <c r="G273" s="1" t="s">
        <v>711</v>
      </c>
      <c r="H273" s="1">
        <v>0</v>
      </c>
      <c r="I273" s="1">
        <v>5000</v>
      </c>
      <c r="J273" s="1" t="s">
        <v>101</v>
      </c>
      <c r="K273" s="1" t="s">
        <v>72</v>
      </c>
    </row>
    <row r="274" spans="1:11">
      <c r="A274" s="23" t="s">
        <v>712</v>
      </c>
      <c r="B274" s="25">
        <v>46314</v>
      </c>
      <c r="C274" s="1" t="s">
        <v>151</v>
      </c>
      <c r="D274" s="1" t="s">
        <v>143</v>
      </c>
      <c r="E274" s="1">
        <v>9</v>
      </c>
      <c r="F274" s="1">
        <v>60000</v>
      </c>
      <c r="G274" s="1" t="s">
        <v>713</v>
      </c>
      <c r="H274" s="1" t="s">
        <v>77</v>
      </c>
      <c r="I274" s="1">
        <v>7000</v>
      </c>
      <c r="J274" s="1" t="s">
        <v>108</v>
      </c>
      <c r="K274" s="1" t="s">
        <v>82</v>
      </c>
    </row>
    <row r="275" spans="1:11">
      <c r="A275" s="24" t="s">
        <v>714</v>
      </c>
      <c r="B275" s="25">
        <v>46203</v>
      </c>
      <c r="C275" s="1" t="s">
        <v>271</v>
      </c>
      <c r="D275" s="1" t="s">
        <v>110</v>
      </c>
      <c r="E275" s="1">
        <v>12</v>
      </c>
      <c r="F275" s="1">
        <v>110000</v>
      </c>
      <c r="G275" s="1" t="s">
        <v>715</v>
      </c>
      <c r="H275" s="1" t="s">
        <v>63</v>
      </c>
      <c r="I275" s="1">
        <v>2500</v>
      </c>
      <c r="J275" s="1" t="s">
        <v>57</v>
      </c>
      <c r="K275" s="1" t="s">
        <v>65</v>
      </c>
    </row>
    <row r="276" spans="1:11">
      <c r="A276" s="23" t="s">
        <v>716</v>
      </c>
      <c r="B276" s="25">
        <v>46061</v>
      </c>
      <c r="C276" s="1" t="s">
        <v>261</v>
      </c>
      <c r="D276" s="1" t="s">
        <v>49</v>
      </c>
      <c r="E276" s="1">
        <v>7</v>
      </c>
      <c r="F276" s="1">
        <v>24000</v>
      </c>
      <c r="G276" s="1" t="s">
        <v>717</v>
      </c>
      <c r="H276" s="1">
        <v>0</v>
      </c>
      <c r="I276" s="1">
        <v>2500</v>
      </c>
      <c r="J276" s="1" t="s">
        <v>51</v>
      </c>
      <c r="K276" s="1" t="s">
        <v>82</v>
      </c>
    </row>
    <row r="277" spans="1:11">
      <c r="A277" s="24" t="s">
        <v>718</v>
      </c>
      <c r="B277" s="25">
        <v>46027</v>
      </c>
      <c r="C277" s="1" t="s">
        <v>160</v>
      </c>
      <c r="D277" s="1" t="s">
        <v>139</v>
      </c>
      <c r="E277" s="1">
        <v>8</v>
      </c>
      <c r="F277" s="1">
        <v>60000</v>
      </c>
      <c r="G277" s="1" t="s">
        <v>719</v>
      </c>
      <c r="H277" s="1" t="s">
        <v>63</v>
      </c>
      <c r="I277" s="1">
        <v>7000</v>
      </c>
      <c r="J277" s="1" t="s">
        <v>51</v>
      </c>
      <c r="K277" s="1" t="s">
        <v>72</v>
      </c>
    </row>
    <row r="278" spans="1:11">
      <c r="A278" s="23" t="s">
        <v>720</v>
      </c>
      <c r="B278" s="25">
        <v>46031</v>
      </c>
      <c r="C278" s="1" t="s">
        <v>216</v>
      </c>
      <c r="D278" s="1" t="s">
        <v>190</v>
      </c>
      <c r="E278" s="1">
        <v>9</v>
      </c>
      <c r="F278" s="1">
        <v>85000</v>
      </c>
      <c r="G278" s="1" t="s">
        <v>721</v>
      </c>
      <c r="H278" s="1" t="s">
        <v>63</v>
      </c>
      <c r="I278" s="1">
        <v>5000</v>
      </c>
      <c r="J278" s="1" t="s">
        <v>57</v>
      </c>
      <c r="K278" s="1" t="s">
        <v>88</v>
      </c>
    </row>
    <row r="279" spans="1:11">
      <c r="A279" s="24" t="s">
        <v>722</v>
      </c>
      <c r="B279" s="25">
        <v>46031</v>
      </c>
      <c r="C279" s="1" t="s">
        <v>334</v>
      </c>
      <c r="D279" s="1" t="s">
        <v>91</v>
      </c>
      <c r="E279" s="1">
        <v>11</v>
      </c>
      <c r="F279" s="1">
        <v>85000</v>
      </c>
      <c r="G279" s="1" t="s">
        <v>723</v>
      </c>
      <c r="H279" s="1">
        <v>0</v>
      </c>
      <c r="I279" s="1">
        <v>2500</v>
      </c>
      <c r="J279" s="1" t="s">
        <v>71</v>
      </c>
      <c r="K279" s="1" t="s">
        <v>58</v>
      </c>
    </row>
    <row r="280" spans="1:11">
      <c r="A280" s="23" t="s">
        <v>724</v>
      </c>
      <c r="B280" s="25">
        <v>46099</v>
      </c>
      <c r="C280" s="1" t="s">
        <v>198</v>
      </c>
      <c r="D280" s="1" t="s">
        <v>61</v>
      </c>
      <c r="E280" s="1">
        <v>10</v>
      </c>
      <c r="F280" s="1">
        <v>45000</v>
      </c>
      <c r="G280" s="1" t="s">
        <v>725</v>
      </c>
      <c r="H280" s="1" t="s">
        <v>70</v>
      </c>
      <c r="I280" s="1">
        <v>7000</v>
      </c>
      <c r="J280" s="1" t="s">
        <v>71</v>
      </c>
      <c r="K280" s="1" t="s">
        <v>88</v>
      </c>
    </row>
    <row r="281" spans="1:11">
      <c r="A281" s="24" t="s">
        <v>726</v>
      </c>
      <c r="B281" s="25">
        <v>46230</v>
      </c>
      <c r="C281" s="1" t="s">
        <v>612</v>
      </c>
      <c r="D281" s="1" t="s">
        <v>55</v>
      </c>
      <c r="E281" s="1">
        <v>4</v>
      </c>
      <c r="F281" s="1">
        <v>32000</v>
      </c>
      <c r="G281" s="1" t="s">
        <v>727</v>
      </c>
      <c r="H281" s="1">
        <v>0</v>
      </c>
      <c r="I281" s="1">
        <v>2500</v>
      </c>
      <c r="J281" s="1" t="s">
        <v>71</v>
      </c>
      <c r="K281" s="1" t="s">
        <v>72</v>
      </c>
    </row>
    <row r="282" spans="1:11">
      <c r="A282" s="23" t="s">
        <v>728</v>
      </c>
      <c r="B282" s="25">
        <v>46217</v>
      </c>
      <c r="C282" s="1" t="s">
        <v>369</v>
      </c>
      <c r="D282" s="1" t="s">
        <v>190</v>
      </c>
      <c r="E282" s="1">
        <v>8</v>
      </c>
      <c r="F282" s="1">
        <v>12000</v>
      </c>
      <c r="G282" s="1" t="s">
        <v>729</v>
      </c>
      <c r="H282" s="1">
        <v>0</v>
      </c>
      <c r="I282" s="1">
        <v>2500</v>
      </c>
      <c r="J282" s="1" t="s">
        <v>108</v>
      </c>
      <c r="K282" s="1" t="s">
        <v>72</v>
      </c>
    </row>
    <row r="283" spans="1:11">
      <c r="A283" s="24" t="s">
        <v>730</v>
      </c>
      <c r="B283" s="25">
        <v>46353</v>
      </c>
      <c r="C283" s="1" t="s">
        <v>299</v>
      </c>
      <c r="D283" s="1" t="s">
        <v>55</v>
      </c>
      <c r="E283" s="1">
        <v>2</v>
      </c>
      <c r="F283" s="1">
        <v>12000</v>
      </c>
      <c r="G283" s="1" t="s">
        <v>731</v>
      </c>
      <c r="H283" s="1" t="s">
        <v>63</v>
      </c>
      <c r="I283" s="1">
        <v>7000</v>
      </c>
      <c r="J283" s="1" t="s">
        <v>87</v>
      </c>
      <c r="K283" s="1" t="s">
        <v>65</v>
      </c>
    </row>
    <row r="284" spans="1:11">
      <c r="A284" s="23" t="s">
        <v>732</v>
      </c>
      <c r="B284" s="25">
        <v>46061</v>
      </c>
      <c r="C284" s="1" t="s">
        <v>206</v>
      </c>
      <c r="D284" s="1" t="s">
        <v>190</v>
      </c>
      <c r="E284" s="1">
        <v>10</v>
      </c>
      <c r="F284" s="1">
        <v>12000</v>
      </c>
      <c r="G284" s="1" t="s">
        <v>733</v>
      </c>
      <c r="H284" s="1" t="s">
        <v>70</v>
      </c>
      <c r="I284" s="1">
        <v>2500</v>
      </c>
      <c r="J284" s="1" t="s">
        <v>101</v>
      </c>
      <c r="K284" s="1" t="s">
        <v>58</v>
      </c>
    </row>
    <row r="285" spans="1:11">
      <c r="A285" s="24" t="s">
        <v>734</v>
      </c>
      <c r="B285" s="25">
        <v>46096</v>
      </c>
      <c r="C285" s="1" t="s">
        <v>103</v>
      </c>
      <c r="D285" s="1" t="s">
        <v>127</v>
      </c>
      <c r="E285" s="1">
        <v>5</v>
      </c>
      <c r="F285" s="1">
        <v>24000</v>
      </c>
      <c r="G285" s="1" t="s">
        <v>735</v>
      </c>
      <c r="H285" s="1" t="s">
        <v>63</v>
      </c>
      <c r="I285" s="1">
        <v>7000</v>
      </c>
      <c r="J285" s="1" t="s">
        <v>51</v>
      </c>
      <c r="K285" s="1" t="s">
        <v>58</v>
      </c>
    </row>
    <row r="286" spans="1:11">
      <c r="A286" s="23" t="s">
        <v>736</v>
      </c>
      <c r="B286" s="25">
        <v>46192</v>
      </c>
      <c r="C286" s="1" t="s">
        <v>414</v>
      </c>
      <c r="D286" s="1" t="s">
        <v>220</v>
      </c>
      <c r="E286" s="1">
        <v>3</v>
      </c>
      <c r="F286" s="1">
        <v>18000</v>
      </c>
      <c r="G286" s="1" t="s">
        <v>737</v>
      </c>
      <c r="H286" s="1" t="s">
        <v>70</v>
      </c>
      <c r="I286" s="1">
        <v>2500</v>
      </c>
      <c r="J286" s="1" t="s">
        <v>71</v>
      </c>
      <c r="K286" s="1" t="s">
        <v>72</v>
      </c>
    </row>
    <row r="287" spans="1:11">
      <c r="A287" s="24" t="s">
        <v>738</v>
      </c>
      <c r="B287" s="25">
        <v>46141</v>
      </c>
      <c r="C287" s="1" t="s">
        <v>138</v>
      </c>
      <c r="D287" s="1" t="s">
        <v>68</v>
      </c>
      <c r="E287" s="1">
        <v>10</v>
      </c>
      <c r="F287" s="1">
        <v>85000</v>
      </c>
      <c r="G287" s="1" t="s">
        <v>739</v>
      </c>
      <c r="H287" s="1" t="s">
        <v>70</v>
      </c>
      <c r="I287" s="1">
        <v>2500</v>
      </c>
      <c r="J287" s="1" t="s">
        <v>51</v>
      </c>
      <c r="K287" s="1" t="s">
        <v>88</v>
      </c>
    </row>
    <row r="288" spans="1:11">
      <c r="A288" s="23" t="s">
        <v>740</v>
      </c>
      <c r="B288" s="25">
        <v>46253</v>
      </c>
      <c r="C288" s="1" t="s">
        <v>308</v>
      </c>
      <c r="D288" s="1"/>
      <c r="E288" s="1">
        <v>6</v>
      </c>
      <c r="F288" s="1">
        <v>85000</v>
      </c>
      <c r="G288" s="1" t="s">
        <v>741</v>
      </c>
      <c r="H288" s="1" t="s">
        <v>63</v>
      </c>
      <c r="I288" s="1">
        <v>7000</v>
      </c>
      <c r="J288" s="1" t="s">
        <v>71</v>
      </c>
      <c r="K288" s="1" t="s">
        <v>58</v>
      </c>
    </row>
    <row r="289" spans="1:11">
      <c r="A289" s="24" t="s">
        <v>742</v>
      </c>
      <c r="B289" s="25">
        <v>46174</v>
      </c>
      <c r="C289" s="1" t="s">
        <v>151</v>
      </c>
      <c r="D289" s="1" t="s">
        <v>91</v>
      </c>
      <c r="E289" s="1">
        <v>2</v>
      </c>
      <c r="F289" s="1">
        <v>18000</v>
      </c>
      <c r="G289" s="1" t="s">
        <v>743</v>
      </c>
      <c r="H289" s="1" t="s">
        <v>77</v>
      </c>
      <c r="I289" s="1">
        <v>3500</v>
      </c>
      <c r="J289" s="1" t="s">
        <v>51</v>
      </c>
      <c r="K289" s="1" t="s">
        <v>72</v>
      </c>
    </row>
    <row r="290" spans="1:11">
      <c r="A290" s="23" t="s">
        <v>744</v>
      </c>
      <c r="B290" s="25">
        <v>46185</v>
      </c>
      <c r="C290" s="1" t="s">
        <v>665</v>
      </c>
      <c r="D290" s="1" t="s">
        <v>118</v>
      </c>
      <c r="E290" s="1">
        <v>2</v>
      </c>
      <c r="F290" s="1">
        <v>12000</v>
      </c>
      <c r="G290" s="1" t="s">
        <v>745</v>
      </c>
      <c r="H290" s="1" t="s">
        <v>77</v>
      </c>
      <c r="I290" s="1">
        <v>5000</v>
      </c>
      <c r="J290" s="1" t="s">
        <v>64</v>
      </c>
      <c r="K290" s="1" t="s">
        <v>88</v>
      </c>
    </row>
    <row r="291" spans="1:11">
      <c r="A291" s="24" t="s">
        <v>746</v>
      </c>
      <c r="B291" s="25">
        <v>46075</v>
      </c>
      <c r="C291" s="1" t="s">
        <v>172</v>
      </c>
      <c r="D291" s="1" t="s">
        <v>127</v>
      </c>
      <c r="E291" s="1">
        <v>3</v>
      </c>
      <c r="F291" s="1">
        <v>85000</v>
      </c>
      <c r="G291" s="1" t="s">
        <v>747</v>
      </c>
      <c r="H291" s="1" t="s">
        <v>63</v>
      </c>
      <c r="I291" s="1">
        <v>9000</v>
      </c>
      <c r="J291" s="1" t="s">
        <v>108</v>
      </c>
      <c r="K291" s="1" t="s">
        <v>65</v>
      </c>
    </row>
    <row r="292" spans="1:11">
      <c r="A292" s="23" t="s">
        <v>748</v>
      </c>
      <c r="B292" s="25">
        <v>46036</v>
      </c>
      <c r="C292" s="1" t="s">
        <v>54</v>
      </c>
      <c r="D292" s="1" t="s">
        <v>75</v>
      </c>
      <c r="E292" s="1">
        <v>9</v>
      </c>
      <c r="F292" s="1">
        <v>18000</v>
      </c>
      <c r="G292" s="1" t="s">
        <v>749</v>
      </c>
      <c r="H292" s="1" t="s">
        <v>70</v>
      </c>
      <c r="I292" s="1">
        <v>7000</v>
      </c>
      <c r="J292" s="1" t="s">
        <v>71</v>
      </c>
      <c r="K292" s="1" t="s">
        <v>88</v>
      </c>
    </row>
    <row r="293" spans="1:11">
      <c r="A293" s="24" t="s">
        <v>750</v>
      </c>
      <c r="B293" s="25">
        <v>46234</v>
      </c>
      <c r="C293" s="1" t="s">
        <v>414</v>
      </c>
      <c r="D293" s="1" t="s">
        <v>127</v>
      </c>
      <c r="E293" s="1">
        <v>12</v>
      </c>
      <c r="F293" s="1">
        <v>32000</v>
      </c>
      <c r="G293" s="1" t="s">
        <v>751</v>
      </c>
      <c r="H293" s="1">
        <v>0</v>
      </c>
      <c r="I293" s="1">
        <v>7000</v>
      </c>
      <c r="J293" s="1" t="s">
        <v>101</v>
      </c>
      <c r="K293" s="1" t="s">
        <v>82</v>
      </c>
    </row>
    <row r="294" spans="1:11">
      <c r="A294" s="23" t="s">
        <v>752</v>
      </c>
      <c r="B294" s="25">
        <v>46160</v>
      </c>
      <c r="C294" s="1" t="s">
        <v>314</v>
      </c>
      <c r="D294" s="1" t="s">
        <v>99</v>
      </c>
      <c r="E294" s="1">
        <v>8</v>
      </c>
      <c r="F294" s="1">
        <v>24000</v>
      </c>
      <c r="G294" s="1" t="s">
        <v>753</v>
      </c>
      <c r="H294" s="1" t="s">
        <v>77</v>
      </c>
      <c r="I294" s="1">
        <v>5000</v>
      </c>
      <c r="J294" s="1" t="s">
        <v>108</v>
      </c>
      <c r="K294" s="1" t="s">
        <v>88</v>
      </c>
    </row>
    <row r="295" spans="1:11">
      <c r="A295" s="24" t="s">
        <v>754</v>
      </c>
      <c r="B295" s="25">
        <v>46270</v>
      </c>
      <c r="C295" s="1" t="s">
        <v>138</v>
      </c>
      <c r="D295" s="1" t="s">
        <v>75</v>
      </c>
      <c r="E295" s="1">
        <v>5</v>
      </c>
      <c r="F295" s="1">
        <v>32000</v>
      </c>
      <c r="G295" s="1" t="s">
        <v>755</v>
      </c>
      <c r="H295" s="1" t="s">
        <v>77</v>
      </c>
      <c r="I295" s="1">
        <v>9000</v>
      </c>
      <c r="J295" s="1" t="s">
        <v>57</v>
      </c>
      <c r="K295" s="1" t="s">
        <v>82</v>
      </c>
    </row>
    <row r="296" spans="1:11">
      <c r="A296" s="23" t="s">
        <v>756</v>
      </c>
      <c r="B296" s="25">
        <v>46257</v>
      </c>
      <c r="C296" s="1" t="s">
        <v>121</v>
      </c>
      <c r="D296" s="1" t="s">
        <v>110</v>
      </c>
      <c r="E296" s="1">
        <v>5</v>
      </c>
      <c r="F296" s="1">
        <v>12000</v>
      </c>
      <c r="G296" s="1" t="s">
        <v>757</v>
      </c>
      <c r="H296" s="1" t="s">
        <v>70</v>
      </c>
      <c r="I296" s="1">
        <v>9000</v>
      </c>
      <c r="J296" s="1" t="s">
        <v>108</v>
      </c>
      <c r="K296" s="1" t="s">
        <v>88</v>
      </c>
    </row>
    <row r="297" spans="1:11">
      <c r="A297" s="24" t="s">
        <v>758</v>
      </c>
      <c r="B297" s="25">
        <v>46248</v>
      </c>
      <c r="C297" s="1" t="s">
        <v>299</v>
      </c>
      <c r="D297" s="1" t="s">
        <v>146</v>
      </c>
      <c r="E297" s="1">
        <v>11</v>
      </c>
      <c r="F297" s="1">
        <v>24000</v>
      </c>
      <c r="G297" s="1" t="s">
        <v>759</v>
      </c>
      <c r="H297" s="1" t="s">
        <v>63</v>
      </c>
      <c r="I297" s="1">
        <v>3500</v>
      </c>
      <c r="J297" s="1" t="s">
        <v>108</v>
      </c>
      <c r="K297" s="1" t="s">
        <v>88</v>
      </c>
    </row>
    <row r="298" spans="1:11">
      <c r="A298" s="23" t="s">
        <v>760</v>
      </c>
      <c r="B298" s="25">
        <v>46113</v>
      </c>
      <c r="C298" s="1" t="s">
        <v>103</v>
      </c>
      <c r="D298" s="1" t="s">
        <v>68</v>
      </c>
      <c r="E298" s="1">
        <v>5</v>
      </c>
      <c r="F298" s="1">
        <v>110000</v>
      </c>
      <c r="G298" s="1" t="s">
        <v>761</v>
      </c>
      <c r="H298" s="1">
        <v>0</v>
      </c>
      <c r="I298" s="1">
        <v>5000</v>
      </c>
      <c r="J298" s="1" t="s">
        <v>108</v>
      </c>
      <c r="K298" s="1" t="s">
        <v>88</v>
      </c>
    </row>
    <row r="299" spans="1:11">
      <c r="A299" s="24" t="s">
        <v>762</v>
      </c>
      <c r="B299" s="25">
        <v>46224</v>
      </c>
      <c r="C299" s="1" t="s">
        <v>665</v>
      </c>
      <c r="D299" s="1" t="s">
        <v>118</v>
      </c>
      <c r="E299" s="1">
        <v>10</v>
      </c>
      <c r="F299" s="1">
        <v>32000</v>
      </c>
      <c r="G299" s="1" t="s">
        <v>763</v>
      </c>
      <c r="H299" s="1" t="s">
        <v>63</v>
      </c>
      <c r="I299" s="1">
        <v>3500</v>
      </c>
      <c r="J299" s="1" t="s">
        <v>51</v>
      </c>
      <c r="K299" s="1" t="s">
        <v>58</v>
      </c>
    </row>
    <row r="300" spans="1:11">
      <c r="A300" s="23" t="s">
        <v>764</v>
      </c>
      <c r="B300" s="25">
        <v>46036</v>
      </c>
      <c r="C300" s="1"/>
      <c r="D300" s="1" t="s">
        <v>91</v>
      </c>
      <c r="E300" s="1">
        <v>4</v>
      </c>
      <c r="F300" s="1">
        <v>110000</v>
      </c>
      <c r="G300" s="1" t="s">
        <v>765</v>
      </c>
      <c r="H300" s="1">
        <v>0</v>
      </c>
      <c r="I300" s="1">
        <v>7000</v>
      </c>
      <c r="J300" s="1" t="s">
        <v>51</v>
      </c>
      <c r="K300" s="1" t="s">
        <v>72</v>
      </c>
    </row>
    <row r="301" spans="1:11">
      <c r="A301" s="24" t="s">
        <v>766</v>
      </c>
      <c r="B301" s="25">
        <v>46094</v>
      </c>
      <c r="C301" s="1" t="s">
        <v>314</v>
      </c>
      <c r="D301" s="1" t="s">
        <v>85</v>
      </c>
      <c r="E301" s="1">
        <v>5</v>
      </c>
      <c r="F301" s="1">
        <v>24000</v>
      </c>
      <c r="G301" s="1" t="s">
        <v>767</v>
      </c>
      <c r="H301" s="1" t="s">
        <v>77</v>
      </c>
      <c r="I301" s="1">
        <v>2500</v>
      </c>
      <c r="J301" s="1" t="s">
        <v>108</v>
      </c>
      <c r="K301" s="1" t="s">
        <v>58</v>
      </c>
    </row>
    <row r="302" spans="1:11">
      <c r="A302" s="23" t="s">
        <v>768</v>
      </c>
      <c r="B302" s="25">
        <v>46268</v>
      </c>
      <c r="C302" s="1" t="s">
        <v>169</v>
      </c>
      <c r="D302" s="1" t="s">
        <v>95</v>
      </c>
      <c r="E302" s="1">
        <v>9</v>
      </c>
      <c r="F302" s="1">
        <v>85000</v>
      </c>
      <c r="G302" s="1" t="s">
        <v>769</v>
      </c>
      <c r="H302" s="1" t="s">
        <v>70</v>
      </c>
      <c r="I302" s="1">
        <v>9000</v>
      </c>
      <c r="J302" s="1" t="s">
        <v>57</v>
      </c>
      <c r="K302" s="1" t="s">
        <v>52</v>
      </c>
    </row>
    <row r="303" spans="1:11">
      <c r="A303" s="24" t="s">
        <v>770</v>
      </c>
      <c r="B303" s="25">
        <v>46066</v>
      </c>
      <c r="C303" s="1" t="s">
        <v>121</v>
      </c>
      <c r="D303" s="1" t="s">
        <v>85</v>
      </c>
      <c r="E303" s="1">
        <v>11</v>
      </c>
      <c r="F303" s="1">
        <v>60000</v>
      </c>
      <c r="G303" s="1" t="s">
        <v>771</v>
      </c>
      <c r="H303" s="1" t="s">
        <v>63</v>
      </c>
      <c r="I303" s="1">
        <v>2500</v>
      </c>
      <c r="J303" s="1" t="s">
        <v>57</v>
      </c>
      <c r="K303" s="1" t="s">
        <v>52</v>
      </c>
    </row>
    <row r="304" spans="1:11">
      <c r="A304" s="23" t="s">
        <v>772</v>
      </c>
      <c r="B304" s="25">
        <v>46369</v>
      </c>
      <c r="C304" s="1" t="s">
        <v>98</v>
      </c>
      <c r="D304" s="1" t="s">
        <v>68</v>
      </c>
      <c r="E304" s="1">
        <v>7</v>
      </c>
      <c r="F304" s="1">
        <v>18000</v>
      </c>
      <c r="G304" s="1" t="s">
        <v>773</v>
      </c>
      <c r="H304" s="1" t="s">
        <v>70</v>
      </c>
      <c r="I304" s="1">
        <v>3500</v>
      </c>
      <c r="J304" s="1" t="s">
        <v>57</v>
      </c>
      <c r="K304" s="1" t="s">
        <v>52</v>
      </c>
    </row>
    <row r="305" spans="1:11">
      <c r="A305" s="24" t="s">
        <v>774</v>
      </c>
      <c r="B305" s="25">
        <v>46288</v>
      </c>
      <c r="C305" s="1" t="s">
        <v>60</v>
      </c>
      <c r="D305" s="1" t="s">
        <v>55</v>
      </c>
      <c r="E305" s="1">
        <v>12</v>
      </c>
      <c r="F305" s="1">
        <v>32000</v>
      </c>
      <c r="G305" s="1" t="s">
        <v>775</v>
      </c>
      <c r="H305" s="1" t="s">
        <v>77</v>
      </c>
      <c r="I305" s="1">
        <v>7000</v>
      </c>
      <c r="J305" s="1" t="s">
        <v>64</v>
      </c>
      <c r="K305" s="1" t="s">
        <v>52</v>
      </c>
    </row>
    <row r="306" spans="1:11">
      <c r="A306" s="23" t="s">
        <v>776</v>
      </c>
      <c r="B306" s="25">
        <v>46324</v>
      </c>
      <c r="C306" s="1" t="s">
        <v>334</v>
      </c>
      <c r="D306" s="1" t="s">
        <v>110</v>
      </c>
      <c r="E306" s="1">
        <v>6</v>
      </c>
      <c r="F306" s="1">
        <v>12000</v>
      </c>
      <c r="G306" s="1" t="s">
        <v>777</v>
      </c>
      <c r="H306" s="1" t="s">
        <v>70</v>
      </c>
      <c r="I306" s="1">
        <v>7000</v>
      </c>
      <c r="J306" s="1" t="s">
        <v>71</v>
      </c>
      <c r="K306" s="1" t="s">
        <v>208</v>
      </c>
    </row>
    <row r="307" spans="1:11">
      <c r="A307" s="24" t="s">
        <v>778</v>
      </c>
      <c r="B307" s="25">
        <v>46095</v>
      </c>
      <c r="C307" s="1" t="s">
        <v>203</v>
      </c>
      <c r="D307" s="1" t="s">
        <v>80</v>
      </c>
      <c r="E307" s="1">
        <v>6</v>
      </c>
      <c r="F307" s="1">
        <v>110000</v>
      </c>
      <c r="G307" s="1" t="s">
        <v>779</v>
      </c>
      <c r="H307" s="1" t="s">
        <v>63</v>
      </c>
      <c r="I307" s="1">
        <v>7000</v>
      </c>
      <c r="J307" s="1" t="s">
        <v>87</v>
      </c>
      <c r="K307" s="1" t="s">
        <v>72</v>
      </c>
    </row>
    <row r="308" spans="1:11">
      <c r="A308" s="23" t="s">
        <v>780</v>
      </c>
      <c r="B308" s="25">
        <v>46072</v>
      </c>
      <c r="C308" s="1" t="s">
        <v>189</v>
      </c>
      <c r="D308" s="1" t="s">
        <v>220</v>
      </c>
      <c r="E308" s="1">
        <v>12</v>
      </c>
      <c r="F308" s="1">
        <v>110000</v>
      </c>
      <c r="G308" s="1" t="s">
        <v>781</v>
      </c>
      <c r="H308" s="1" t="s">
        <v>70</v>
      </c>
      <c r="I308" s="1">
        <v>2500</v>
      </c>
      <c r="J308" s="1" t="s">
        <v>64</v>
      </c>
      <c r="K308" s="1" t="s">
        <v>52</v>
      </c>
    </row>
    <row r="309" spans="1:11">
      <c r="A309" s="24" t="s">
        <v>782</v>
      </c>
      <c r="B309" s="25">
        <v>46081</v>
      </c>
      <c r="C309" s="1" t="s">
        <v>251</v>
      </c>
      <c r="D309" s="1" t="s">
        <v>68</v>
      </c>
      <c r="E309" s="1">
        <v>11</v>
      </c>
      <c r="F309" s="1">
        <v>18000</v>
      </c>
      <c r="G309" s="1" t="s">
        <v>783</v>
      </c>
      <c r="H309" s="1">
        <v>0</v>
      </c>
      <c r="I309" s="1">
        <v>3500</v>
      </c>
      <c r="J309" s="1" t="s">
        <v>57</v>
      </c>
      <c r="K309" s="1" t="s">
        <v>82</v>
      </c>
    </row>
    <row r="310" spans="1:11">
      <c r="A310" s="23" t="s">
        <v>784</v>
      </c>
      <c r="B310" s="25">
        <v>46305</v>
      </c>
      <c r="C310" s="1" t="s">
        <v>323</v>
      </c>
      <c r="D310" s="1" t="s">
        <v>68</v>
      </c>
      <c r="E310" s="1">
        <v>9</v>
      </c>
      <c r="F310" s="1">
        <v>85000</v>
      </c>
      <c r="G310" s="1" t="s">
        <v>785</v>
      </c>
      <c r="H310" s="1">
        <v>0</v>
      </c>
      <c r="I310" s="1">
        <v>7000</v>
      </c>
      <c r="J310" s="1" t="s">
        <v>51</v>
      </c>
      <c r="K310" s="1" t="s">
        <v>82</v>
      </c>
    </row>
    <row r="311" spans="1:11">
      <c r="A311" s="24" t="s">
        <v>786</v>
      </c>
      <c r="B311" s="25">
        <v>46118</v>
      </c>
      <c r="C311" s="1" t="s">
        <v>475</v>
      </c>
      <c r="D311" s="1" t="s">
        <v>95</v>
      </c>
      <c r="E311" s="1">
        <v>1</v>
      </c>
      <c r="F311" s="1">
        <v>32000</v>
      </c>
      <c r="G311" s="1" t="s">
        <v>787</v>
      </c>
      <c r="H311" s="1" t="s">
        <v>77</v>
      </c>
      <c r="I311" s="1">
        <v>7000</v>
      </c>
      <c r="J311" s="1" t="s">
        <v>71</v>
      </c>
      <c r="K311" s="1" t="s">
        <v>52</v>
      </c>
    </row>
    <row r="312" spans="1:11">
      <c r="A312" s="23" t="s">
        <v>788</v>
      </c>
      <c r="B312" s="25">
        <v>46132</v>
      </c>
      <c r="C312" s="1" t="s">
        <v>184</v>
      </c>
      <c r="D312" s="1" t="s">
        <v>99</v>
      </c>
      <c r="E312" s="1">
        <v>12</v>
      </c>
      <c r="F312" s="1">
        <v>18000</v>
      </c>
      <c r="G312" s="1" t="s">
        <v>789</v>
      </c>
      <c r="H312" s="1" t="s">
        <v>63</v>
      </c>
      <c r="I312" s="1">
        <v>3500</v>
      </c>
      <c r="J312" s="1" t="s">
        <v>87</v>
      </c>
      <c r="K312" s="1" t="s">
        <v>88</v>
      </c>
    </row>
    <row r="313" spans="1:11">
      <c r="A313" s="24" t="s">
        <v>790</v>
      </c>
      <c r="B313" s="25">
        <v>46123</v>
      </c>
      <c r="C313" s="1" t="s">
        <v>612</v>
      </c>
      <c r="D313" s="1" t="s">
        <v>118</v>
      </c>
      <c r="E313" s="1">
        <v>5</v>
      </c>
      <c r="F313" s="1">
        <v>110000</v>
      </c>
      <c r="G313" s="1" t="s">
        <v>791</v>
      </c>
      <c r="H313" s="1" t="s">
        <v>70</v>
      </c>
      <c r="I313" s="1">
        <v>9000</v>
      </c>
      <c r="J313" s="1" t="s">
        <v>108</v>
      </c>
      <c r="K313" s="1" t="s">
        <v>58</v>
      </c>
    </row>
    <row r="314" spans="1:11">
      <c r="A314" s="23" t="s">
        <v>792</v>
      </c>
      <c r="B314" s="25">
        <v>46223</v>
      </c>
      <c r="C314" s="1" t="s">
        <v>329</v>
      </c>
      <c r="D314" s="1" t="s">
        <v>118</v>
      </c>
      <c r="E314" s="1">
        <v>6</v>
      </c>
      <c r="F314" s="1">
        <v>60000</v>
      </c>
      <c r="G314" s="1" t="s">
        <v>793</v>
      </c>
      <c r="H314" s="1" t="s">
        <v>63</v>
      </c>
      <c r="I314" s="1">
        <v>3500</v>
      </c>
      <c r="J314" s="1" t="s">
        <v>64</v>
      </c>
      <c r="K314" s="1" t="s">
        <v>52</v>
      </c>
    </row>
    <row r="315" spans="1:11">
      <c r="A315" s="24" t="s">
        <v>794</v>
      </c>
      <c r="B315" s="25">
        <v>46384</v>
      </c>
      <c r="C315" s="1" t="s">
        <v>314</v>
      </c>
      <c r="D315" s="1" t="s">
        <v>272</v>
      </c>
      <c r="E315" s="1">
        <v>10</v>
      </c>
      <c r="F315" s="1">
        <v>18000</v>
      </c>
      <c r="G315" s="1" t="s">
        <v>795</v>
      </c>
      <c r="H315" s="1" t="s">
        <v>70</v>
      </c>
      <c r="I315" s="1">
        <v>2500</v>
      </c>
      <c r="J315" s="1" t="s">
        <v>101</v>
      </c>
      <c r="K315" s="1" t="s">
        <v>88</v>
      </c>
    </row>
    <row r="316" spans="1:11">
      <c r="A316" s="23" t="s">
        <v>796</v>
      </c>
      <c r="B316" s="25">
        <v>46082</v>
      </c>
      <c r="C316" s="1" t="s">
        <v>289</v>
      </c>
      <c r="D316" s="1" t="s">
        <v>75</v>
      </c>
      <c r="E316" s="1">
        <v>12</v>
      </c>
      <c r="F316" s="1">
        <v>24000</v>
      </c>
      <c r="G316" s="1" t="s">
        <v>797</v>
      </c>
      <c r="H316" s="1" t="s">
        <v>77</v>
      </c>
      <c r="I316" s="1">
        <v>9000</v>
      </c>
      <c r="J316" s="1" t="s">
        <v>101</v>
      </c>
      <c r="K316" s="1" t="s">
        <v>58</v>
      </c>
    </row>
    <row r="317" spans="1:11">
      <c r="A317" s="24" t="s">
        <v>798</v>
      </c>
      <c r="B317" s="25">
        <v>46219</v>
      </c>
      <c r="C317" s="1" t="s">
        <v>67</v>
      </c>
      <c r="D317" s="1" t="s">
        <v>130</v>
      </c>
      <c r="E317" s="1">
        <v>8</v>
      </c>
      <c r="F317" s="1">
        <v>24000</v>
      </c>
      <c r="G317" s="1" t="s">
        <v>799</v>
      </c>
      <c r="H317" s="1" t="s">
        <v>77</v>
      </c>
      <c r="I317" s="1">
        <v>5000</v>
      </c>
      <c r="J317" s="1" t="s">
        <v>101</v>
      </c>
      <c r="K317" s="1" t="s">
        <v>82</v>
      </c>
    </row>
    <row r="318" spans="1:11">
      <c r="A318" s="23" t="s">
        <v>800</v>
      </c>
      <c r="B318" s="25">
        <v>46184</v>
      </c>
      <c r="C318" s="1" t="s">
        <v>526</v>
      </c>
      <c r="D318" s="1" t="s">
        <v>272</v>
      </c>
      <c r="E318" s="1">
        <v>1</v>
      </c>
      <c r="F318" s="1">
        <v>60000</v>
      </c>
      <c r="G318" s="1" t="s">
        <v>801</v>
      </c>
      <c r="H318" s="1" t="s">
        <v>77</v>
      </c>
      <c r="I318" s="1">
        <v>3500</v>
      </c>
      <c r="J318" s="1" t="s">
        <v>101</v>
      </c>
      <c r="K318" s="1" t="s">
        <v>72</v>
      </c>
    </row>
    <row r="319" spans="1:11">
      <c r="A319" s="24" t="s">
        <v>802</v>
      </c>
      <c r="B319" s="25">
        <v>46310</v>
      </c>
      <c r="C319" s="1" t="s">
        <v>334</v>
      </c>
      <c r="D319" s="1" t="s">
        <v>104</v>
      </c>
      <c r="E319" s="1">
        <v>8</v>
      </c>
      <c r="F319" s="1">
        <v>85000</v>
      </c>
      <c r="G319" s="1" t="s">
        <v>803</v>
      </c>
      <c r="H319" s="1" t="s">
        <v>77</v>
      </c>
      <c r="I319" s="1">
        <v>7000</v>
      </c>
      <c r="J319" s="1"/>
      <c r="K319" s="1" t="s">
        <v>82</v>
      </c>
    </row>
    <row r="320" spans="1:11">
      <c r="A320" s="23" t="s">
        <v>804</v>
      </c>
      <c r="B320" s="25">
        <v>46065</v>
      </c>
      <c r="C320" s="1" t="s">
        <v>126</v>
      </c>
      <c r="D320" s="1" t="s">
        <v>49</v>
      </c>
      <c r="E320" s="1">
        <v>4</v>
      </c>
      <c r="F320" s="1">
        <v>45000</v>
      </c>
      <c r="G320" s="1" t="s">
        <v>805</v>
      </c>
      <c r="H320" s="1">
        <v>0</v>
      </c>
      <c r="I320" s="1">
        <v>9000</v>
      </c>
      <c r="J320" s="1" t="s">
        <v>87</v>
      </c>
      <c r="K320" s="1" t="s">
        <v>82</v>
      </c>
    </row>
    <row r="321" spans="1:11">
      <c r="A321" s="24" t="s">
        <v>806</v>
      </c>
      <c r="B321" s="25">
        <v>46257</v>
      </c>
      <c r="C321" s="1" t="s">
        <v>126</v>
      </c>
      <c r="D321" s="1" t="s">
        <v>220</v>
      </c>
      <c r="E321" s="1">
        <v>8</v>
      </c>
      <c r="F321" s="1">
        <v>18000</v>
      </c>
      <c r="G321" s="1" t="s">
        <v>807</v>
      </c>
      <c r="H321" s="1" t="s">
        <v>70</v>
      </c>
      <c r="I321" s="1">
        <v>9000</v>
      </c>
      <c r="J321" s="1" t="s">
        <v>64</v>
      </c>
      <c r="K321" s="1" t="s">
        <v>88</v>
      </c>
    </row>
    <row r="322" spans="1:11">
      <c r="A322" s="23" t="s">
        <v>808</v>
      </c>
      <c r="B322" s="25">
        <v>46300</v>
      </c>
      <c r="C322" s="1" t="s">
        <v>491</v>
      </c>
      <c r="D322" s="1" t="s">
        <v>220</v>
      </c>
      <c r="E322" s="1">
        <v>8</v>
      </c>
      <c r="F322" s="1">
        <v>32000</v>
      </c>
      <c r="G322" s="1" t="s">
        <v>809</v>
      </c>
      <c r="H322" s="1">
        <v>0</v>
      </c>
      <c r="I322" s="1">
        <v>3500</v>
      </c>
      <c r="J322" s="1" t="s">
        <v>87</v>
      </c>
      <c r="K322" s="1" t="s">
        <v>65</v>
      </c>
    </row>
    <row r="323" spans="1:11">
      <c r="A323" s="24" t="s">
        <v>810</v>
      </c>
      <c r="B323" s="25">
        <v>46253</v>
      </c>
      <c r="C323" s="1" t="s">
        <v>157</v>
      </c>
      <c r="D323" s="1" t="s">
        <v>75</v>
      </c>
      <c r="E323" s="1">
        <v>2</v>
      </c>
      <c r="F323" s="1">
        <v>110000</v>
      </c>
      <c r="G323" s="1" t="s">
        <v>811</v>
      </c>
      <c r="H323" s="1">
        <v>0</v>
      </c>
      <c r="I323" s="1">
        <v>3500</v>
      </c>
      <c r="J323" s="1" t="s">
        <v>101</v>
      </c>
      <c r="K323" s="1" t="s">
        <v>52</v>
      </c>
    </row>
    <row r="324" spans="1:11">
      <c r="A324" s="23" t="s">
        <v>812</v>
      </c>
      <c r="B324" s="25">
        <v>46324</v>
      </c>
      <c r="C324" s="1" t="s">
        <v>203</v>
      </c>
      <c r="D324" s="1" t="s">
        <v>91</v>
      </c>
      <c r="E324" s="1">
        <v>10</v>
      </c>
      <c r="F324" s="1">
        <v>85000</v>
      </c>
      <c r="G324" s="1" t="s">
        <v>813</v>
      </c>
      <c r="H324" s="1">
        <v>0</v>
      </c>
      <c r="I324" s="1">
        <v>3500</v>
      </c>
      <c r="J324" s="1" t="s">
        <v>64</v>
      </c>
      <c r="K324" s="1" t="s">
        <v>82</v>
      </c>
    </row>
    <row r="325" spans="1:11">
      <c r="A325" s="24" t="s">
        <v>814</v>
      </c>
      <c r="B325" s="25">
        <v>46053</v>
      </c>
      <c r="C325" s="1" t="s">
        <v>126</v>
      </c>
      <c r="D325" s="1" t="s">
        <v>75</v>
      </c>
      <c r="E325" s="1">
        <v>9</v>
      </c>
      <c r="F325" s="1">
        <v>45000</v>
      </c>
      <c r="G325" s="1" t="s">
        <v>815</v>
      </c>
      <c r="H325" s="1">
        <v>0</v>
      </c>
      <c r="I325" s="1">
        <v>5000</v>
      </c>
      <c r="J325" s="1" t="s">
        <v>51</v>
      </c>
      <c r="K325" s="1" t="s">
        <v>88</v>
      </c>
    </row>
    <row r="326" spans="1:11">
      <c r="A326" s="23" t="s">
        <v>816</v>
      </c>
      <c r="B326" s="25">
        <v>46171</v>
      </c>
      <c r="C326" s="1" t="s">
        <v>142</v>
      </c>
      <c r="D326" s="1" t="s">
        <v>99</v>
      </c>
      <c r="E326" s="1">
        <v>9</v>
      </c>
      <c r="F326" s="1">
        <v>18000</v>
      </c>
      <c r="G326" s="1" t="s">
        <v>817</v>
      </c>
      <c r="H326" s="1" t="s">
        <v>77</v>
      </c>
      <c r="I326" s="1">
        <v>2500</v>
      </c>
      <c r="J326" s="1" t="s">
        <v>87</v>
      </c>
      <c r="K326" s="1" t="s">
        <v>52</v>
      </c>
    </row>
    <row r="327" spans="1:11">
      <c r="A327" s="24" t="s">
        <v>818</v>
      </c>
      <c r="B327" s="25">
        <v>46087</v>
      </c>
      <c r="C327" s="1" t="s">
        <v>172</v>
      </c>
      <c r="D327" s="1" t="s">
        <v>85</v>
      </c>
      <c r="E327" s="1">
        <v>3</v>
      </c>
      <c r="F327" s="1">
        <v>60000</v>
      </c>
      <c r="G327" s="1" t="s">
        <v>819</v>
      </c>
      <c r="H327" s="1" t="s">
        <v>77</v>
      </c>
      <c r="I327" s="1">
        <v>7000</v>
      </c>
      <c r="J327" s="1" t="s">
        <v>101</v>
      </c>
      <c r="K327" s="1" t="s">
        <v>58</v>
      </c>
    </row>
    <row r="328" spans="1:11">
      <c r="A328" s="23" t="s">
        <v>820</v>
      </c>
      <c r="B328" s="25">
        <v>46346</v>
      </c>
      <c r="C328" s="1" t="s">
        <v>90</v>
      </c>
      <c r="D328" s="1" t="s">
        <v>104</v>
      </c>
      <c r="E328" s="1">
        <v>7</v>
      </c>
      <c r="F328" s="1">
        <v>85000</v>
      </c>
      <c r="G328" s="1" t="s">
        <v>821</v>
      </c>
      <c r="H328" s="1">
        <v>0</v>
      </c>
      <c r="I328" s="1">
        <v>7000</v>
      </c>
      <c r="J328" s="1" t="s">
        <v>57</v>
      </c>
      <c r="K328" s="1" t="s">
        <v>52</v>
      </c>
    </row>
    <row r="329" spans="1:11">
      <c r="A329" s="24" t="s">
        <v>822</v>
      </c>
      <c r="B329" s="25">
        <v>46165</v>
      </c>
      <c r="C329" s="1" t="s">
        <v>133</v>
      </c>
      <c r="D329" s="1" t="s">
        <v>114</v>
      </c>
      <c r="E329" s="1">
        <v>8</v>
      </c>
      <c r="F329" s="1">
        <v>60000</v>
      </c>
      <c r="G329" s="1" t="s">
        <v>823</v>
      </c>
      <c r="H329" s="1">
        <v>0</v>
      </c>
      <c r="I329" s="1">
        <v>7000</v>
      </c>
      <c r="J329" s="1" t="s">
        <v>51</v>
      </c>
      <c r="K329" s="1" t="s">
        <v>52</v>
      </c>
    </row>
    <row r="330" spans="1:11">
      <c r="A330" s="23" t="s">
        <v>824</v>
      </c>
      <c r="B330" s="25">
        <v>46380</v>
      </c>
      <c r="C330" s="1" t="s">
        <v>74</v>
      </c>
      <c r="D330" s="1" t="s">
        <v>127</v>
      </c>
      <c r="E330" s="1">
        <v>9</v>
      </c>
      <c r="F330" s="1">
        <v>85000</v>
      </c>
      <c r="G330" s="1" t="s">
        <v>825</v>
      </c>
      <c r="H330" s="1" t="s">
        <v>77</v>
      </c>
      <c r="I330" s="1">
        <v>3500</v>
      </c>
      <c r="J330" s="1" t="s">
        <v>108</v>
      </c>
      <c r="K330" s="1" t="s">
        <v>88</v>
      </c>
    </row>
    <row r="331" spans="1:11">
      <c r="A331" s="24" t="s">
        <v>826</v>
      </c>
      <c r="B331" s="25">
        <v>46188</v>
      </c>
      <c r="C331" s="1" t="s">
        <v>179</v>
      </c>
      <c r="D331" s="1" t="s">
        <v>68</v>
      </c>
      <c r="E331" s="1">
        <v>9</v>
      </c>
      <c r="F331" s="1">
        <v>24000</v>
      </c>
      <c r="G331" s="1" t="s">
        <v>827</v>
      </c>
      <c r="H331" s="1" t="s">
        <v>77</v>
      </c>
      <c r="I331" s="1">
        <v>5000</v>
      </c>
      <c r="J331" s="1" t="s">
        <v>51</v>
      </c>
      <c r="K331" s="1" t="s">
        <v>65</v>
      </c>
    </row>
    <row r="332" spans="1:11">
      <c r="A332" s="23" t="s">
        <v>828</v>
      </c>
      <c r="B332" s="25">
        <v>46046</v>
      </c>
      <c r="C332" s="1" t="s">
        <v>176</v>
      </c>
      <c r="D332" s="1" t="s">
        <v>104</v>
      </c>
      <c r="E332" s="1">
        <v>8</v>
      </c>
      <c r="F332" s="1">
        <v>12000</v>
      </c>
      <c r="G332" s="1" t="s">
        <v>829</v>
      </c>
      <c r="H332" s="1">
        <v>0</v>
      </c>
      <c r="I332" s="1">
        <v>7000</v>
      </c>
      <c r="J332" s="1" t="s">
        <v>108</v>
      </c>
      <c r="K332" s="1" t="s">
        <v>65</v>
      </c>
    </row>
    <row r="333" spans="1:11">
      <c r="A333" s="24" t="s">
        <v>830</v>
      </c>
      <c r="B333" s="25">
        <v>46242</v>
      </c>
      <c r="C333" s="1" t="s">
        <v>399</v>
      </c>
      <c r="D333" s="1" t="s">
        <v>91</v>
      </c>
      <c r="E333" s="1">
        <v>3</v>
      </c>
      <c r="F333" s="1">
        <v>45000</v>
      </c>
      <c r="G333" s="1" t="s">
        <v>831</v>
      </c>
      <c r="H333" s="1" t="s">
        <v>70</v>
      </c>
      <c r="I333" s="1">
        <v>2500</v>
      </c>
      <c r="J333" s="1" t="s">
        <v>51</v>
      </c>
      <c r="K333" s="1" t="s">
        <v>88</v>
      </c>
    </row>
    <row r="334" spans="1:11">
      <c r="A334" s="23" t="s">
        <v>832</v>
      </c>
      <c r="B334" s="25">
        <v>46151</v>
      </c>
      <c r="C334" s="1" t="s">
        <v>84</v>
      </c>
      <c r="D334" s="1" t="s">
        <v>75</v>
      </c>
      <c r="E334" s="1">
        <v>11</v>
      </c>
      <c r="F334" s="1">
        <v>24000</v>
      </c>
      <c r="G334" s="1" t="s">
        <v>833</v>
      </c>
      <c r="H334" s="1" t="s">
        <v>70</v>
      </c>
      <c r="I334" s="1">
        <v>3500</v>
      </c>
      <c r="J334" s="1" t="s">
        <v>108</v>
      </c>
      <c r="K334" s="1" t="s">
        <v>52</v>
      </c>
    </row>
    <row r="335" spans="1:11">
      <c r="A335" s="24" t="s">
        <v>834</v>
      </c>
      <c r="B335" s="25">
        <v>46069</v>
      </c>
      <c r="C335" s="1" t="s">
        <v>176</v>
      </c>
      <c r="D335" s="1" t="s">
        <v>49</v>
      </c>
      <c r="E335" s="1">
        <v>4</v>
      </c>
      <c r="F335" s="1">
        <v>110000</v>
      </c>
      <c r="G335" s="1" t="s">
        <v>835</v>
      </c>
      <c r="H335" s="1" t="s">
        <v>63</v>
      </c>
      <c r="I335" s="1">
        <v>3500</v>
      </c>
      <c r="J335" s="1" t="s">
        <v>57</v>
      </c>
      <c r="K335" s="1" t="s">
        <v>52</v>
      </c>
    </row>
    <row r="336" spans="1:11">
      <c r="A336" s="23" t="s">
        <v>836</v>
      </c>
      <c r="B336" s="25">
        <v>46250</v>
      </c>
      <c r="C336" s="1" t="s">
        <v>428</v>
      </c>
      <c r="D336" s="1" t="s">
        <v>49</v>
      </c>
      <c r="E336" s="1">
        <v>12</v>
      </c>
      <c r="F336" s="1">
        <v>60000</v>
      </c>
      <c r="G336" s="1" t="s">
        <v>837</v>
      </c>
      <c r="H336" s="1" t="s">
        <v>77</v>
      </c>
      <c r="I336" s="1">
        <v>3500</v>
      </c>
      <c r="J336" s="1" t="s">
        <v>108</v>
      </c>
      <c r="K336" s="1" t="s">
        <v>65</v>
      </c>
    </row>
    <row r="337" spans="1:11">
      <c r="A337" s="24" t="s">
        <v>838</v>
      </c>
      <c r="B337" s="25">
        <v>46140</v>
      </c>
      <c r="C337" s="1" t="s">
        <v>414</v>
      </c>
      <c r="D337" s="1" t="s">
        <v>127</v>
      </c>
      <c r="E337" s="1">
        <v>12</v>
      </c>
      <c r="F337" s="1">
        <v>18000</v>
      </c>
      <c r="G337" s="1" t="s">
        <v>839</v>
      </c>
      <c r="H337" s="1" t="s">
        <v>70</v>
      </c>
      <c r="I337" s="1">
        <v>5000</v>
      </c>
      <c r="J337" s="1" t="s">
        <v>101</v>
      </c>
      <c r="K337" s="1" t="s">
        <v>72</v>
      </c>
    </row>
    <row r="338" spans="1:11">
      <c r="A338" s="23" t="s">
        <v>840</v>
      </c>
      <c r="B338" s="25">
        <v>46091</v>
      </c>
      <c r="C338" s="1" t="s">
        <v>480</v>
      </c>
      <c r="D338" s="1" t="s">
        <v>127</v>
      </c>
      <c r="E338" s="1">
        <v>9</v>
      </c>
      <c r="F338" s="1">
        <v>12000</v>
      </c>
      <c r="G338" s="1" t="s">
        <v>841</v>
      </c>
      <c r="H338" s="1">
        <v>0</v>
      </c>
      <c r="I338" s="1">
        <v>7000</v>
      </c>
      <c r="J338" s="1" t="s">
        <v>87</v>
      </c>
      <c r="K338" s="1" t="s">
        <v>52</v>
      </c>
    </row>
    <row r="339" spans="1:11">
      <c r="A339" s="24" t="s">
        <v>842</v>
      </c>
      <c r="B339" s="25">
        <v>46132</v>
      </c>
      <c r="C339" s="1" t="s">
        <v>668</v>
      </c>
      <c r="D339" s="1" t="s">
        <v>146</v>
      </c>
      <c r="E339" s="1">
        <v>10</v>
      </c>
      <c r="F339" s="1">
        <v>110000</v>
      </c>
      <c r="G339" s="1" t="s">
        <v>843</v>
      </c>
      <c r="H339" s="1">
        <v>0</v>
      </c>
      <c r="I339" s="1">
        <v>2500</v>
      </c>
      <c r="J339" s="1" t="s">
        <v>101</v>
      </c>
      <c r="K339" s="1" t="s">
        <v>65</v>
      </c>
    </row>
    <row r="340" spans="1:11">
      <c r="A340" s="23" t="s">
        <v>844</v>
      </c>
      <c r="B340" s="25">
        <v>46324</v>
      </c>
      <c r="C340" s="1" t="s">
        <v>414</v>
      </c>
      <c r="D340" s="1" t="s">
        <v>75</v>
      </c>
      <c r="E340" s="1">
        <v>7</v>
      </c>
      <c r="F340" s="1">
        <v>60000</v>
      </c>
      <c r="G340" s="1" t="s">
        <v>845</v>
      </c>
      <c r="H340" s="1">
        <v>0</v>
      </c>
      <c r="I340" s="1">
        <v>5000</v>
      </c>
      <c r="J340" s="1" t="s">
        <v>51</v>
      </c>
      <c r="K340" s="1" t="s">
        <v>65</v>
      </c>
    </row>
    <row r="341" spans="1:11">
      <c r="A341" s="24" t="s">
        <v>846</v>
      </c>
      <c r="B341" s="25">
        <v>46150</v>
      </c>
      <c r="C341" s="1" t="s">
        <v>79</v>
      </c>
      <c r="D341" s="1" t="s">
        <v>272</v>
      </c>
      <c r="E341" s="1">
        <v>10</v>
      </c>
      <c r="F341" s="1">
        <v>45000</v>
      </c>
      <c r="G341" s="1" t="s">
        <v>847</v>
      </c>
      <c r="H341" s="1">
        <v>0</v>
      </c>
      <c r="I341" s="1">
        <v>5000</v>
      </c>
      <c r="J341" s="1" t="s">
        <v>101</v>
      </c>
      <c r="K341" s="1" t="s">
        <v>58</v>
      </c>
    </row>
    <row r="342" spans="1:11">
      <c r="A342" s="23" t="s">
        <v>848</v>
      </c>
      <c r="B342" s="25">
        <v>46333</v>
      </c>
      <c r="C342" s="1" t="s">
        <v>360</v>
      </c>
      <c r="D342" s="1" t="s">
        <v>61</v>
      </c>
      <c r="E342" s="1">
        <v>12</v>
      </c>
      <c r="F342" s="1">
        <v>85000</v>
      </c>
      <c r="G342" s="1" t="s">
        <v>849</v>
      </c>
      <c r="H342" s="1">
        <v>0</v>
      </c>
      <c r="I342" s="1">
        <v>3500</v>
      </c>
      <c r="J342" s="1" t="s">
        <v>108</v>
      </c>
      <c r="K342" s="1" t="s">
        <v>72</v>
      </c>
    </row>
    <row r="343" spans="1:11">
      <c r="A343" s="24" t="s">
        <v>850</v>
      </c>
      <c r="B343" s="25">
        <v>46080</v>
      </c>
      <c r="C343" s="1" t="s">
        <v>198</v>
      </c>
      <c r="D343" s="1" t="s">
        <v>143</v>
      </c>
      <c r="E343" s="1">
        <v>11</v>
      </c>
      <c r="F343" s="1">
        <v>18000</v>
      </c>
      <c r="G343" s="1" t="s">
        <v>851</v>
      </c>
      <c r="H343" s="1">
        <v>0</v>
      </c>
      <c r="I343" s="1">
        <v>5000</v>
      </c>
      <c r="J343" s="1" t="s">
        <v>87</v>
      </c>
      <c r="K343" s="1" t="s">
        <v>82</v>
      </c>
    </row>
    <row r="344" spans="1:11">
      <c r="A344" s="23" t="s">
        <v>852</v>
      </c>
      <c r="B344" s="25">
        <v>46221</v>
      </c>
      <c r="C344" s="1" t="s">
        <v>126</v>
      </c>
      <c r="D344" s="1" t="s">
        <v>146</v>
      </c>
      <c r="E344" s="1">
        <v>6</v>
      </c>
      <c r="F344" s="1">
        <v>24000</v>
      </c>
      <c r="G344" s="1" t="s">
        <v>853</v>
      </c>
      <c r="H344" s="1">
        <v>0</v>
      </c>
      <c r="I344" s="1">
        <v>2500</v>
      </c>
      <c r="J344" s="1" t="s">
        <v>57</v>
      </c>
      <c r="K344" s="1" t="s">
        <v>65</v>
      </c>
    </row>
    <row r="345" spans="1:11">
      <c r="A345" s="24" t="s">
        <v>854</v>
      </c>
      <c r="B345" s="25">
        <v>46030</v>
      </c>
      <c r="C345" s="1" t="s">
        <v>157</v>
      </c>
      <c r="D345" s="1" t="s">
        <v>61</v>
      </c>
      <c r="E345" s="1">
        <v>1</v>
      </c>
      <c r="F345" s="1">
        <v>12000</v>
      </c>
      <c r="G345" s="1" t="s">
        <v>855</v>
      </c>
      <c r="H345" s="1" t="s">
        <v>77</v>
      </c>
      <c r="I345" s="1">
        <v>9000</v>
      </c>
      <c r="J345" s="1" t="s">
        <v>87</v>
      </c>
      <c r="K345" s="1" t="s">
        <v>52</v>
      </c>
    </row>
    <row r="346" spans="1:11">
      <c r="A346" s="23" t="s">
        <v>856</v>
      </c>
      <c r="B346" s="25">
        <v>46387</v>
      </c>
      <c r="C346" s="1" t="s">
        <v>334</v>
      </c>
      <c r="D346" s="1" t="s">
        <v>146</v>
      </c>
      <c r="E346" s="1">
        <v>7</v>
      </c>
      <c r="F346" s="1">
        <v>85000</v>
      </c>
      <c r="G346" s="1" t="s">
        <v>857</v>
      </c>
      <c r="H346" s="1" t="s">
        <v>63</v>
      </c>
      <c r="I346" s="1">
        <v>9000</v>
      </c>
      <c r="J346" s="1" t="s">
        <v>57</v>
      </c>
      <c r="K346" s="1" t="s">
        <v>82</v>
      </c>
    </row>
    <row r="347" spans="1:11">
      <c r="A347" s="24" t="s">
        <v>858</v>
      </c>
      <c r="B347" s="25">
        <v>46165</v>
      </c>
      <c r="C347" s="1" t="s">
        <v>84</v>
      </c>
      <c r="D347" s="1" t="s">
        <v>80</v>
      </c>
      <c r="E347" s="1">
        <v>2</v>
      </c>
      <c r="F347" s="1">
        <v>32000</v>
      </c>
      <c r="G347" s="1" t="s">
        <v>859</v>
      </c>
      <c r="H347" s="1">
        <v>0</v>
      </c>
      <c r="I347" s="1">
        <v>9000</v>
      </c>
      <c r="J347" s="1" t="s">
        <v>87</v>
      </c>
      <c r="K347" s="1" t="s">
        <v>72</v>
      </c>
    </row>
    <row r="348" spans="1:11">
      <c r="A348" s="23" t="s">
        <v>860</v>
      </c>
      <c r="B348" s="25">
        <v>46323</v>
      </c>
      <c r="C348" s="1" t="s">
        <v>266</v>
      </c>
      <c r="D348" s="1" t="s">
        <v>80</v>
      </c>
      <c r="E348" s="1">
        <v>12</v>
      </c>
      <c r="F348" s="1">
        <v>85000</v>
      </c>
      <c r="G348" s="1" t="s">
        <v>861</v>
      </c>
      <c r="H348" s="1">
        <v>0</v>
      </c>
      <c r="I348" s="1">
        <v>2500</v>
      </c>
      <c r="J348" s="1" t="s">
        <v>101</v>
      </c>
      <c r="K348" s="1" t="s">
        <v>65</v>
      </c>
    </row>
    <row r="349" spans="1:11">
      <c r="A349" s="24" t="s">
        <v>862</v>
      </c>
      <c r="B349" s="25">
        <v>46245</v>
      </c>
      <c r="C349" s="1" t="s">
        <v>48</v>
      </c>
      <c r="D349" s="1" t="s">
        <v>114</v>
      </c>
      <c r="E349" s="1">
        <v>10</v>
      </c>
      <c r="F349" s="1">
        <v>12000</v>
      </c>
      <c r="G349" s="1" t="s">
        <v>863</v>
      </c>
      <c r="H349" s="1">
        <v>0</v>
      </c>
      <c r="I349" s="1">
        <v>2500</v>
      </c>
      <c r="J349" s="1" t="s">
        <v>71</v>
      </c>
      <c r="K349" s="1" t="s">
        <v>52</v>
      </c>
    </row>
    <row r="350" spans="1:11">
      <c r="A350" s="23" t="s">
        <v>864</v>
      </c>
      <c r="B350" s="25">
        <v>46093</v>
      </c>
      <c r="C350" s="1" t="s">
        <v>428</v>
      </c>
      <c r="D350" s="1" t="s">
        <v>130</v>
      </c>
      <c r="E350" s="1">
        <v>8</v>
      </c>
      <c r="F350" s="1">
        <v>60000</v>
      </c>
      <c r="G350" s="1" t="s">
        <v>865</v>
      </c>
      <c r="H350" s="1" t="s">
        <v>70</v>
      </c>
      <c r="I350" s="1">
        <v>3500</v>
      </c>
      <c r="J350" s="1" t="s">
        <v>87</v>
      </c>
      <c r="K350" s="1" t="s">
        <v>82</v>
      </c>
    </row>
    <row r="351" spans="1:11">
      <c r="A351" s="24" t="s">
        <v>866</v>
      </c>
      <c r="B351" s="25">
        <v>46160</v>
      </c>
      <c r="C351" s="1" t="s">
        <v>219</v>
      </c>
      <c r="D351" s="1" t="s">
        <v>49</v>
      </c>
      <c r="E351" s="1">
        <v>6</v>
      </c>
      <c r="F351" s="1">
        <v>85000</v>
      </c>
      <c r="G351" s="1" t="s">
        <v>867</v>
      </c>
      <c r="H351" s="1">
        <v>0</v>
      </c>
      <c r="I351" s="1">
        <v>5000</v>
      </c>
      <c r="J351" s="1" t="s">
        <v>51</v>
      </c>
      <c r="K351" s="1" t="s">
        <v>58</v>
      </c>
    </row>
    <row r="352" spans="1:11">
      <c r="A352" s="23" t="s">
        <v>868</v>
      </c>
      <c r="B352" s="25">
        <v>46344</v>
      </c>
      <c r="C352" s="1" t="s">
        <v>138</v>
      </c>
      <c r="D352" s="1" t="s">
        <v>143</v>
      </c>
      <c r="E352" s="1">
        <v>8</v>
      </c>
      <c r="F352" s="1">
        <v>60000</v>
      </c>
      <c r="G352" s="1" t="s">
        <v>869</v>
      </c>
      <c r="H352" s="1" t="s">
        <v>63</v>
      </c>
      <c r="I352" s="1">
        <v>3500</v>
      </c>
      <c r="J352" s="1" t="s">
        <v>87</v>
      </c>
      <c r="K352" s="1" t="s">
        <v>82</v>
      </c>
    </row>
    <row r="353" spans="1:11">
      <c r="A353" s="24" t="s">
        <v>870</v>
      </c>
      <c r="B353" s="25">
        <v>46153</v>
      </c>
      <c r="C353" s="1" t="s">
        <v>121</v>
      </c>
      <c r="D353" s="1" t="s">
        <v>55</v>
      </c>
      <c r="E353" s="1">
        <v>11</v>
      </c>
      <c r="F353" s="1">
        <v>18000</v>
      </c>
      <c r="G353" s="1" t="s">
        <v>871</v>
      </c>
      <c r="H353" s="1" t="s">
        <v>63</v>
      </c>
      <c r="I353" s="1">
        <v>2500</v>
      </c>
      <c r="J353" s="1" t="s">
        <v>71</v>
      </c>
      <c r="K353" s="1" t="s">
        <v>65</v>
      </c>
    </row>
    <row r="354" spans="1:11">
      <c r="A354" s="23" t="s">
        <v>872</v>
      </c>
      <c r="B354" s="25">
        <v>46148</v>
      </c>
      <c r="C354" s="1" t="s">
        <v>491</v>
      </c>
      <c r="D354" s="1" t="s">
        <v>143</v>
      </c>
      <c r="E354" s="1">
        <v>6</v>
      </c>
      <c r="F354" s="1">
        <v>85000</v>
      </c>
      <c r="G354" s="1" t="s">
        <v>873</v>
      </c>
      <c r="H354" s="1">
        <v>0</v>
      </c>
      <c r="I354" s="1">
        <v>2500</v>
      </c>
      <c r="J354" s="1" t="s">
        <v>57</v>
      </c>
      <c r="K354" s="1" t="s">
        <v>52</v>
      </c>
    </row>
    <row r="355" spans="1:11">
      <c r="A355" s="24" t="s">
        <v>874</v>
      </c>
      <c r="B355" s="25">
        <v>46358</v>
      </c>
      <c r="C355" s="1" t="s">
        <v>248</v>
      </c>
      <c r="D355" s="1" t="s">
        <v>85</v>
      </c>
      <c r="E355" s="1">
        <v>6</v>
      </c>
      <c r="F355" s="1">
        <v>32000</v>
      </c>
      <c r="G355" s="1" t="s">
        <v>875</v>
      </c>
      <c r="H355" s="1" t="s">
        <v>70</v>
      </c>
      <c r="I355" s="1">
        <v>5000</v>
      </c>
      <c r="J355" s="1" t="s">
        <v>64</v>
      </c>
      <c r="K355" s="1" t="s">
        <v>65</v>
      </c>
    </row>
    <row r="356" spans="1:11">
      <c r="A356" s="23" t="s">
        <v>876</v>
      </c>
      <c r="B356" s="25">
        <v>46315</v>
      </c>
      <c r="C356" s="1" t="s">
        <v>133</v>
      </c>
      <c r="D356" s="1" t="s">
        <v>118</v>
      </c>
      <c r="E356" s="1">
        <v>9</v>
      </c>
      <c r="F356" s="1">
        <v>12000</v>
      </c>
      <c r="G356" s="1" t="s">
        <v>877</v>
      </c>
      <c r="H356" s="1" t="s">
        <v>63</v>
      </c>
      <c r="I356" s="1">
        <v>2500</v>
      </c>
      <c r="J356" s="1" t="s">
        <v>108</v>
      </c>
      <c r="K356" s="1" t="s">
        <v>65</v>
      </c>
    </row>
    <row r="357" spans="1:11">
      <c r="A357" s="24" t="s">
        <v>878</v>
      </c>
      <c r="B357" s="25">
        <v>46261</v>
      </c>
      <c r="C357" s="1" t="s">
        <v>179</v>
      </c>
      <c r="D357" s="1" t="s">
        <v>80</v>
      </c>
      <c r="E357" s="1">
        <v>6</v>
      </c>
      <c r="F357" s="1">
        <v>18000</v>
      </c>
      <c r="G357" s="1" t="s">
        <v>879</v>
      </c>
      <c r="H357" s="1">
        <v>0</v>
      </c>
      <c r="I357" s="1">
        <v>5000</v>
      </c>
      <c r="J357" s="1" t="s">
        <v>101</v>
      </c>
      <c r="K357" s="1" t="s">
        <v>88</v>
      </c>
    </row>
    <row r="358" spans="1:11">
      <c r="A358" s="23" t="s">
        <v>880</v>
      </c>
      <c r="B358" s="25">
        <v>46311</v>
      </c>
      <c r="C358" s="1" t="s">
        <v>314</v>
      </c>
      <c r="D358" s="1" t="s">
        <v>220</v>
      </c>
      <c r="E358" s="1">
        <v>10</v>
      </c>
      <c r="F358" s="1">
        <v>32000</v>
      </c>
      <c r="G358" s="1" t="s">
        <v>881</v>
      </c>
      <c r="H358" s="1" t="s">
        <v>63</v>
      </c>
      <c r="I358" s="1">
        <v>7000</v>
      </c>
      <c r="J358" s="1" t="s">
        <v>64</v>
      </c>
      <c r="K358" s="1" t="s">
        <v>82</v>
      </c>
    </row>
    <row r="359" spans="1:11">
      <c r="A359" s="24" t="s">
        <v>882</v>
      </c>
      <c r="B359" s="25">
        <v>46302</v>
      </c>
      <c r="C359" s="1" t="s">
        <v>151</v>
      </c>
      <c r="D359" s="1" t="s">
        <v>110</v>
      </c>
      <c r="E359" s="1">
        <v>1</v>
      </c>
      <c r="F359" s="1">
        <v>85000</v>
      </c>
      <c r="G359" s="1" t="s">
        <v>883</v>
      </c>
      <c r="H359" s="1" t="s">
        <v>63</v>
      </c>
      <c r="I359" s="1">
        <v>5000</v>
      </c>
      <c r="J359" s="1" t="s">
        <v>51</v>
      </c>
      <c r="K359" s="1" t="s">
        <v>52</v>
      </c>
    </row>
    <row r="360" spans="1:11">
      <c r="A360" s="23" t="s">
        <v>884</v>
      </c>
      <c r="B360" s="25">
        <v>46027</v>
      </c>
      <c r="C360" s="1" t="s">
        <v>299</v>
      </c>
      <c r="D360" s="1" t="s">
        <v>49</v>
      </c>
      <c r="E360" s="1">
        <v>11</v>
      </c>
      <c r="F360" s="1">
        <v>85000</v>
      </c>
      <c r="G360" s="1" t="s">
        <v>885</v>
      </c>
      <c r="H360" s="1" t="s">
        <v>70</v>
      </c>
      <c r="I360" s="1">
        <v>2500</v>
      </c>
      <c r="J360" s="1" t="s">
        <v>101</v>
      </c>
      <c r="K360" s="1" t="s">
        <v>58</v>
      </c>
    </row>
    <row r="361" spans="1:11">
      <c r="A361" s="21" t="s">
        <v>886</v>
      </c>
      <c r="B361" s="25">
        <v>46144</v>
      </c>
      <c r="C361" s="1" t="s">
        <v>248</v>
      </c>
      <c r="D361" s="1" t="s">
        <v>143</v>
      </c>
      <c r="E361" s="1">
        <v>1</v>
      </c>
      <c r="F361" s="1">
        <v>24000</v>
      </c>
      <c r="G361" s="1" t="s">
        <v>887</v>
      </c>
      <c r="H361" s="1">
        <v>0</v>
      </c>
      <c r="I361" s="1">
        <v>2500</v>
      </c>
      <c r="J361" s="1" t="s">
        <v>101</v>
      </c>
      <c r="K36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0B3A-F070-4597-8C87-59B81C81226A}">
  <dimension ref="A1:L81"/>
  <sheetViews>
    <sheetView workbookViewId="0">
      <pane ySplit="1" topLeftCell="A2" activePane="bottomLeft" state="frozen"/>
      <selection pane="bottomLeft" activeCell="L20" sqref="L20"/>
    </sheetView>
  </sheetViews>
  <sheetFormatPr baseColWidth="10" defaultColWidth="10.28515625" defaultRowHeight="14.25"/>
  <cols>
    <col min="1" max="1" width="11.42578125" style="27" customWidth="1"/>
    <col min="2" max="2" width="9.85546875" style="27" customWidth="1"/>
    <col min="3" max="3" width="12.28515625" style="27" customWidth="1"/>
    <col min="4" max="4" width="11.7109375" style="27" customWidth="1"/>
    <col min="5" max="5" width="20.85546875" style="27" customWidth="1"/>
    <col min="6" max="16384" width="10.28515625" style="27"/>
  </cols>
  <sheetData>
    <row r="1" spans="1:5" ht="15">
      <c r="A1" s="26" t="s">
        <v>38</v>
      </c>
      <c r="B1" s="26" t="s">
        <v>888</v>
      </c>
      <c r="C1" s="26" t="s">
        <v>889</v>
      </c>
      <c r="D1" s="26" t="s">
        <v>890</v>
      </c>
      <c r="E1" s="26" t="s">
        <v>891</v>
      </c>
    </row>
    <row r="2" spans="1:5">
      <c r="A2" s="27" t="s">
        <v>216</v>
      </c>
      <c r="B2" s="27" t="s">
        <v>892</v>
      </c>
      <c r="C2" s="27" t="s">
        <v>893</v>
      </c>
      <c r="D2" s="27" t="s">
        <v>894</v>
      </c>
      <c r="E2" s="27" t="s">
        <v>894</v>
      </c>
    </row>
    <row r="3" spans="1:5">
      <c r="A3" s="27" t="s">
        <v>428</v>
      </c>
      <c r="B3" s="27" t="s">
        <v>895</v>
      </c>
      <c r="C3" s="27" t="s">
        <v>896</v>
      </c>
      <c r="D3" s="27" t="s">
        <v>897</v>
      </c>
      <c r="E3" s="27" t="s">
        <v>897</v>
      </c>
    </row>
    <row r="4" spans="1:5">
      <c r="A4" s="27" t="s">
        <v>251</v>
      </c>
      <c r="B4" s="27" t="s">
        <v>898</v>
      </c>
      <c r="C4" s="27" t="s">
        <v>896</v>
      </c>
      <c r="D4" s="27" t="s">
        <v>899</v>
      </c>
      <c r="E4" s="27" t="s">
        <v>900</v>
      </c>
    </row>
    <row r="5" spans="1:5">
      <c r="A5" s="27" t="s">
        <v>353</v>
      </c>
      <c r="B5" s="27" t="s">
        <v>901</v>
      </c>
      <c r="C5" s="27" t="s">
        <v>902</v>
      </c>
      <c r="D5" s="27" t="s">
        <v>903</v>
      </c>
      <c r="E5" s="27" t="s">
        <v>904</v>
      </c>
    </row>
    <row r="6" spans="1:5">
      <c r="A6" s="27" t="s">
        <v>193</v>
      </c>
      <c r="B6" s="27" t="s">
        <v>905</v>
      </c>
      <c r="C6" s="27" t="s">
        <v>893</v>
      </c>
      <c r="D6" s="27" t="s">
        <v>899</v>
      </c>
      <c r="E6" s="27" t="s">
        <v>900</v>
      </c>
    </row>
    <row r="7" spans="1:5">
      <c r="A7" s="27" t="s">
        <v>491</v>
      </c>
      <c r="B7" s="27" t="s">
        <v>906</v>
      </c>
      <c r="C7" s="27" t="s">
        <v>893</v>
      </c>
      <c r="D7" s="27" t="s">
        <v>907</v>
      </c>
      <c r="E7" s="27" t="s">
        <v>908</v>
      </c>
    </row>
    <row r="8" spans="1:5">
      <c r="A8" s="27" t="s">
        <v>261</v>
      </c>
      <c r="B8" s="27" t="s">
        <v>909</v>
      </c>
      <c r="C8" s="27" t="s">
        <v>893</v>
      </c>
      <c r="D8" s="27" t="s">
        <v>910</v>
      </c>
      <c r="E8" s="27" t="s">
        <v>910</v>
      </c>
    </row>
    <row r="9" spans="1:5">
      <c r="A9" s="27" t="s">
        <v>320</v>
      </c>
      <c r="B9" s="27" t="s">
        <v>911</v>
      </c>
      <c r="C9" s="27" t="s">
        <v>896</v>
      </c>
      <c r="D9" s="27" t="s">
        <v>907</v>
      </c>
      <c r="E9" s="27" t="s">
        <v>908</v>
      </c>
    </row>
    <row r="10" spans="1:5">
      <c r="A10" s="27" t="s">
        <v>266</v>
      </c>
      <c r="B10" s="27" t="s">
        <v>912</v>
      </c>
      <c r="C10" s="27" t="s">
        <v>902</v>
      </c>
      <c r="D10" s="27" t="s">
        <v>913</v>
      </c>
      <c r="E10" s="27" t="s">
        <v>913</v>
      </c>
    </row>
    <row r="11" spans="1:5">
      <c r="A11" s="27" t="s">
        <v>138</v>
      </c>
      <c r="B11" s="27" t="s">
        <v>914</v>
      </c>
      <c r="C11" s="27" t="s">
        <v>896</v>
      </c>
      <c r="D11" s="27" t="s">
        <v>897</v>
      </c>
      <c r="E11" s="27" t="s">
        <v>897</v>
      </c>
    </row>
    <row r="12" spans="1:5">
      <c r="A12" s="27" t="s">
        <v>84</v>
      </c>
      <c r="B12" s="27" t="s">
        <v>915</v>
      </c>
      <c r="C12" s="27" t="s">
        <v>893</v>
      </c>
      <c r="D12" s="27" t="s">
        <v>899</v>
      </c>
      <c r="E12" s="27" t="s">
        <v>900</v>
      </c>
    </row>
    <row r="13" spans="1:5">
      <c r="A13" s="27" t="s">
        <v>54</v>
      </c>
      <c r="B13" s="27" t="s">
        <v>916</v>
      </c>
      <c r="C13" s="27" t="s">
        <v>896</v>
      </c>
      <c r="D13" s="27" t="s">
        <v>910</v>
      </c>
      <c r="E13" s="27" t="s">
        <v>910</v>
      </c>
    </row>
    <row r="14" spans="1:5">
      <c r="A14" s="27" t="s">
        <v>176</v>
      </c>
      <c r="B14" s="27" t="s">
        <v>917</v>
      </c>
      <c r="C14" s="27" t="s">
        <v>893</v>
      </c>
      <c r="D14" s="27" t="s">
        <v>910</v>
      </c>
      <c r="E14" s="27" t="s">
        <v>910</v>
      </c>
    </row>
    <row r="15" spans="1:5">
      <c r="A15" s="27" t="s">
        <v>121</v>
      </c>
      <c r="B15" s="27" t="s">
        <v>918</v>
      </c>
      <c r="C15" s="27" t="s">
        <v>893</v>
      </c>
      <c r="D15" s="27" t="s">
        <v>907</v>
      </c>
      <c r="E15" s="27" t="s">
        <v>908</v>
      </c>
    </row>
    <row r="16" spans="1:5">
      <c r="A16" s="27" t="s">
        <v>48</v>
      </c>
      <c r="B16" s="27" t="s">
        <v>919</v>
      </c>
      <c r="C16" s="27" t="s">
        <v>896</v>
      </c>
      <c r="D16" s="27" t="s">
        <v>897</v>
      </c>
      <c r="E16" s="27" t="s">
        <v>897</v>
      </c>
    </row>
    <row r="17" spans="1:12">
      <c r="A17" s="27" t="s">
        <v>219</v>
      </c>
      <c r="B17" s="27" t="s">
        <v>920</v>
      </c>
      <c r="C17" s="27" t="s">
        <v>896</v>
      </c>
      <c r="D17" s="27" t="s">
        <v>907</v>
      </c>
      <c r="E17" s="27" t="s">
        <v>908</v>
      </c>
    </row>
    <row r="18" spans="1:12">
      <c r="A18" s="27" t="s">
        <v>172</v>
      </c>
      <c r="B18" s="27" t="s">
        <v>921</v>
      </c>
      <c r="C18" s="27" t="s">
        <v>896</v>
      </c>
      <c r="D18" s="27" t="s">
        <v>913</v>
      </c>
      <c r="E18" s="27" t="s">
        <v>913</v>
      </c>
    </row>
    <row r="19" spans="1:12">
      <c r="A19" s="27" t="s">
        <v>411</v>
      </c>
      <c r="B19" s="27" t="s">
        <v>922</v>
      </c>
      <c r="C19" s="27" t="s">
        <v>893</v>
      </c>
      <c r="D19" s="27" t="s">
        <v>897</v>
      </c>
      <c r="E19" s="27" t="s">
        <v>897</v>
      </c>
    </row>
    <row r="20" spans="1:12">
      <c r="A20" s="27" t="s">
        <v>480</v>
      </c>
      <c r="B20" s="27" t="s">
        <v>923</v>
      </c>
      <c r="C20" s="27" t="s">
        <v>896</v>
      </c>
      <c r="D20" s="27" t="s">
        <v>894</v>
      </c>
      <c r="E20" s="27" t="s">
        <v>894</v>
      </c>
      <c r="L20" s="28"/>
    </row>
    <row r="21" spans="1:12">
      <c r="A21" s="27" t="s">
        <v>668</v>
      </c>
      <c r="B21" s="27" t="s">
        <v>924</v>
      </c>
      <c r="C21" s="27" t="s">
        <v>896</v>
      </c>
      <c r="D21" s="27" t="s">
        <v>907</v>
      </c>
      <c r="E21" s="27" t="s">
        <v>908</v>
      </c>
    </row>
    <row r="22" spans="1:12">
      <c r="A22" s="27" t="s">
        <v>323</v>
      </c>
      <c r="B22" s="27" t="s">
        <v>925</v>
      </c>
      <c r="C22" s="27" t="s">
        <v>893</v>
      </c>
      <c r="D22" s="27" t="s">
        <v>903</v>
      </c>
      <c r="E22" s="27" t="s">
        <v>904</v>
      </c>
    </row>
    <row r="23" spans="1:12">
      <c r="A23" s="27" t="s">
        <v>271</v>
      </c>
      <c r="B23" s="27" t="s">
        <v>926</v>
      </c>
      <c r="C23" s="27" t="s">
        <v>893</v>
      </c>
      <c r="D23" s="27" t="s">
        <v>913</v>
      </c>
      <c r="E23" s="27" t="s">
        <v>913</v>
      </c>
    </row>
    <row r="24" spans="1:12">
      <c r="A24" s="27" t="s">
        <v>210</v>
      </c>
      <c r="B24" s="27" t="s">
        <v>927</v>
      </c>
      <c r="C24" s="27" t="s">
        <v>896</v>
      </c>
      <c r="D24" s="27" t="s">
        <v>897</v>
      </c>
      <c r="E24" s="27" t="s">
        <v>897</v>
      </c>
    </row>
    <row r="25" spans="1:12">
      <c r="A25" s="27" t="s">
        <v>289</v>
      </c>
      <c r="B25" s="27" t="s">
        <v>928</v>
      </c>
      <c r="C25" s="27" t="s">
        <v>896</v>
      </c>
      <c r="D25" s="27" t="s">
        <v>903</v>
      </c>
      <c r="E25" s="27" t="s">
        <v>904</v>
      </c>
    </row>
    <row r="26" spans="1:12">
      <c r="A26" s="27" t="s">
        <v>394</v>
      </c>
      <c r="B26" s="27" t="s">
        <v>929</v>
      </c>
      <c r="C26" s="27" t="s">
        <v>893</v>
      </c>
      <c r="D26" s="27" t="s">
        <v>899</v>
      </c>
      <c r="E26" s="27" t="s">
        <v>900</v>
      </c>
    </row>
    <row r="27" spans="1:12">
      <c r="A27" s="27" t="s">
        <v>399</v>
      </c>
      <c r="B27" s="27" t="s">
        <v>930</v>
      </c>
      <c r="C27" s="27" t="s">
        <v>902</v>
      </c>
      <c r="D27" s="27" t="s">
        <v>910</v>
      </c>
      <c r="E27" s="27" t="s">
        <v>910</v>
      </c>
    </row>
    <row r="28" spans="1:12">
      <c r="A28" s="27" t="s">
        <v>184</v>
      </c>
      <c r="B28" s="27" t="s">
        <v>931</v>
      </c>
      <c r="C28" s="27" t="s">
        <v>896</v>
      </c>
      <c r="D28" s="27" t="s">
        <v>907</v>
      </c>
      <c r="E28" s="27" t="s">
        <v>908</v>
      </c>
    </row>
    <row r="29" spans="1:12">
      <c r="A29" s="27" t="s">
        <v>160</v>
      </c>
      <c r="B29" s="27" t="s">
        <v>932</v>
      </c>
      <c r="C29" s="27" t="s">
        <v>902</v>
      </c>
      <c r="D29" s="27" t="s">
        <v>897</v>
      </c>
      <c r="E29" s="27" t="s">
        <v>897</v>
      </c>
    </row>
    <row r="30" spans="1:12">
      <c r="A30" s="27" t="s">
        <v>571</v>
      </c>
      <c r="B30" s="27" t="s">
        <v>933</v>
      </c>
      <c r="C30" s="27" t="s">
        <v>896</v>
      </c>
      <c r="D30" s="27" t="s">
        <v>934</v>
      </c>
      <c r="E30" s="27" t="s">
        <v>935</v>
      </c>
    </row>
    <row r="31" spans="1:12">
      <c r="A31" s="27" t="s">
        <v>936</v>
      </c>
      <c r="B31" s="27" t="s">
        <v>937</v>
      </c>
      <c r="C31" s="27" t="s">
        <v>896</v>
      </c>
      <c r="D31" s="27" t="s">
        <v>910</v>
      </c>
      <c r="E31" s="27" t="s">
        <v>910</v>
      </c>
    </row>
    <row r="32" spans="1:12">
      <c r="A32" s="27" t="s">
        <v>198</v>
      </c>
      <c r="B32" s="27" t="s">
        <v>938</v>
      </c>
      <c r="C32" s="27" t="s">
        <v>896</v>
      </c>
      <c r="D32" s="27" t="s">
        <v>934</v>
      </c>
      <c r="E32" s="27" t="s">
        <v>935</v>
      </c>
    </row>
    <row r="33" spans="1:5">
      <c r="A33" s="27" t="s">
        <v>151</v>
      </c>
      <c r="B33" s="27" t="s">
        <v>939</v>
      </c>
      <c r="C33" s="27" t="s">
        <v>893</v>
      </c>
      <c r="D33" s="27" t="s">
        <v>894</v>
      </c>
      <c r="E33" s="27" t="s">
        <v>894</v>
      </c>
    </row>
    <row r="34" spans="1:5">
      <c r="A34" s="27" t="s">
        <v>337</v>
      </c>
      <c r="B34" s="27" t="s">
        <v>940</v>
      </c>
      <c r="C34" s="27" t="s">
        <v>902</v>
      </c>
      <c r="D34" s="27" t="s">
        <v>903</v>
      </c>
      <c r="E34" s="27" t="s">
        <v>904</v>
      </c>
    </row>
    <row r="35" spans="1:5">
      <c r="A35" s="27" t="s">
        <v>157</v>
      </c>
      <c r="B35" s="27" t="s">
        <v>941</v>
      </c>
      <c r="C35" s="27" t="s">
        <v>893</v>
      </c>
      <c r="D35" s="27" t="s">
        <v>894</v>
      </c>
      <c r="E35" s="27" t="s">
        <v>894</v>
      </c>
    </row>
    <row r="36" spans="1:5">
      <c r="A36" s="27" t="s">
        <v>90</v>
      </c>
      <c r="B36" s="27" t="s">
        <v>942</v>
      </c>
      <c r="C36" s="27" t="s">
        <v>893</v>
      </c>
      <c r="D36" s="27" t="s">
        <v>913</v>
      </c>
      <c r="E36" s="27" t="s">
        <v>913</v>
      </c>
    </row>
    <row r="37" spans="1:5">
      <c r="A37" s="27" t="s">
        <v>206</v>
      </c>
      <c r="B37" s="27" t="s">
        <v>943</v>
      </c>
      <c r="C37" s="27" t="s">
        <v>896</v>
      </c>
      <c r="D37" s="27" t="s">
        <v>907</v>
      </c>
      <c r="E37" s="27" t="s">
        <v>908</v>
      </c>
    </row>
    <row r="38" spans="1:5">
      <c r="A38" s="27" t="s">
        <v>179</v>
      </c>
      <c r="B38" s="27" t="s">
        <v>944</v>
      </c>
      <c r="C38" s="27" t="s">
        <v>902</v>
      </c>
      <c r="D38" s="27" t="s">
        <v>903</v>
      </c>
      <c r="E38" s="27" t="s">
        <v>904</v>
      </c>
    </row>
    <row r="39" spans="1:5">
      <c r="A39" s="27" t="s">
        <v>326</v>
      </c>
      <c r="B39" s="27" t="s">
        <v>945</v>
      </c>
      <c r="C39" s="27" t="s">
        <v>893</v>
      </c>
      <c r="D39" s="27" t="s">
        <v>913</v>
      </c>
      <c r="E39" s="27" t="s">
        <v>913</v>
      </c>
    </row>
    <row r="40" spans="1:5">
      <c r="A40" s="27" t="s">
        <v>314</v>
      </c>
      <c r="B40" s="27" t="s">
        <v>946</v>
      </c>
      <c r="C40" s="27" t="s">
        <v>893</v>
      </c>
      <c r="D40" s="27" t="s">
        <v>894</v>
      </c>
      <c r="E40" s="27" t="s">
        <v>894</v>
      </c>
    </row>
    <row r="41" spans="1:5">
      <c r="A41" s="27" t="s">
        <v>275</v>
      </c>
      <c r="B41" s="27" t="s">
        <v>947</v>
      </c>
      <c r="C41" s="27" t="s">
        <v>893</v>
      </c>
      <c r="D41" s="27" t="s">
        <v>903</v>
      </c>
      <c r="E41" s="27" t="s">
        <v>904</v>
      </c>
    </row>
    <row r="42" spans="1:5">
      <c r="A42" s="27" t="s">
        <v>245</v>
      </c>
      <c r="B42" s="27" t="s">
        <v>948</v>
      </c>
      <c r="C42" s="27" t="s">
        <v>893</v>
      </c>
      <c r="D42" s="27" t="s">
        <v>894</v>
      </c>
      <c r="E42" s="27" t="s">
        <v>894</v>
      </c>
    </row>
    <row r="43" spans="1:5">
      <c r="A43" s="27" t="s">
        <v>408</v>
      </c>
      <c r="B43" s="27" t="s">
        <v>949</v>
      </c>
      <c r="C43" s="27" t="s">
        <v>896</v>
      </c>
      <c r="D43" s="27" t="s">
        <v>913</v>
      </c>
      <c r="E43" s="27" t="s">
        <v>913</v>
      </c>
    </row>
    <row r="44" spans="1:5">
      <c r="A44" s="27" t="s">
        <v>299</v>
      </c>
      <c r="B44" s="27" t="s">
        <v>950</v>
      </c>
      <c r="C44" s="27" t="s">
        <v>902</v>
      </c>
      <c r="D44" s="27" t="s">
        <v>903</v>
      </c>
      <c r="E44" s="27" t="s">
        <v>904</v>
      </c>
    </row>
    <row r="45" spans="1:5">
      <c r="A45" s="27" t="s">
        <v>117</v>
      </c>
      <c r="B45" s="27" t="s">
        <v>951</v>
      </c>
      <c r="C45" s="27" t="s">
        <v>902</v>
      </c>
      <c r="D45" s="27" t="s">
        <v>910</v>
      </c>
      <c r="E45" s="27" t="s">
        <v>910</v>
      </c>
    </row>
    <row r="46" spans="1:5">
      <c r="A46" s="27" t="s">
        <v>203</v>
      </c>
      <c r="B46" s="27" t="s">
        <v>952</v>
      </c>
      <c r="C46" s="27" t="s">
        <v>902</v>
      </c>
      <c r="D46" s="27" t="s">
        <v>934</v>
      </c>
      <c r="E46" s="27" t="s">
        <v>935</v>
      </c>
    </row>
    <row r="47" spans="1:5">
      <c r="A47" s="27" t="s">
        <v>74</v>
      </c>
      <c r="B47" s="27" t="s">
        <v>953</v>
      </c>
      <c r="C47" s="27" t="s">
        <v>893</v>
      </c>
      <c r="D47" s="27" t="s">
        <v>910</v>
      </c>
      <c r="E47" s="27" t="s">
        <v>910</v>
      </c>
    </row>
    <row r="48" spans="1:5">
      <c r="A48" s="27" t="s">
        <v>665</v>
      </c>
      <c r="B48" s="27" t="s">
        <v>954</v>
      </c>
      <c r="C48" s="27" t="s">
        <v>893</v>
      </c>
      <c r="D48" s="27" t="s">
        <v>899</v>
      </c>
      <c r="E48" s="27" t="s">
        <v>900</v>
      </c>
    </row>
    <row r="49" spans="1:5">
      <c r="A49" s="27" t="s">
        <v>133</v>
      </c>
      <c r="B49" s="27" t="s">
        <v>955</v>
      </c>
      <c r="C49" s="27" t="s">
        <v>893</v>
      </c>
      <c r="D49" s="27" t="s">
        <v>913</v>
      </c>
      <c r="E49" s="27" t="s">
        <v>913</v>
      </c>
    </row>
    <row r="50" spans="1:5">
      <c r="A50" s="27" t="s">
        <v>369</v>
      </c>
      <c r="B50" s="27" t="s">
        <v>956</v>
      </c>
      <c r="C50" s="27" t="s">
        <v>902</v>
      </c>
      <c r="D50" s="27" t="s">
        <v>903</v>
      </c>
      <c r="E50" s="27" t="s">
        <v>904</v>
      </c>
    </row>
    <row r="51" spans="1:5">
      <c r="A51" s="27" t="s">
        <v>414</v>
      </c>
      <c r="B51" s="27" t="s">
        <v>957</v>
      </c>
      <c r="C51" s="27" t="s">
        <v>896</v>
      </c>
      <c r="D51" s="27" t="s">
        <v>910</v>
      </c>
      <c r="E51" s="27" t="s">
        <v>910</v>
      </c>
    </row>
    <row r="52" spans="1:5">
      <c r="A52" s="27" t="s">
        <v>103</v>
      </c>
      <c r="B52" s="27" t="s">
        <v>958</v>
      </c>
      <c r="C52" s="27" t="s">
        <v>896</v>
      </c>
      <c r="D52" s="27" t="s">
        <v>899</v>
      </c>
      <c r="E52" s="27" t="s">
        <v>900</v>
      </c>
    </row>
    <row r="53" spans="1:5">
      <c r="A53" s="27" t="s">
        <v>98</v>
      </c>
      <c r="B53" s="27" t="s">
        <v>959</v>
      </c>
      <c r="C53" s="27" t="s">
        <v>902</v>
      </c>
      <c r="D53" s="27" t="s">
        <v>913</v>
      </c>
      <c r="E53" s="27" t="s">
        <v>913</v>
      </c>
    </row>
    <row r="54" spans="1:5">
      <c r="A54" s="27" t="s">
        <v>154</v>
      </c>
      <c r="B54" s="27" t="s">
        <v>960</v>
      </c>
      <c r="C54" s="27" t="s">
        <v>902</v>
      </c>
      <c r="D54" s="27" t="s">
        <v>903</v>
      </c>
      <c r="E54" s="27" t="s">
        <v>904</v>
      </c>
    </row>
    <row r="55" spans="1:5">
      <c r="A55" s="27" t="s">
        <v>248</v>
      </c>
      <c r="B55" s="27" t="s">
        <v>961</v>
      </c>
      <c r="C55" s="27" t="s">
        <v>896</v>
      </c>
      <c r="D55" s="27" t="s">
        <v>894</v>
      </c>
      <c r="E55" s="27" t="s">
        <v>894</v>
      </c>
    </row>
    <row r="56" spans="1:5">
      <c r="A56" s="27" t="s">
        <v>67</v>
      </c>
      <c r="B56" s="27" t="s">
        <v>962</v>
      </c>
      <c r="C56" s="27" t="s">
        <v>902</v>
      </c>
      <c r="D56" s="27" t="s">
        <v>899</v>
      </c>
      <c r="E56" s="27" t="s">
        <v>900</v>
      </c>
    </row>
    <row r="57" spans="1:5">
      <c r="A57" s="27" t="s">
        <v>475</v>
      </c>
      <c r="B57" s="27" t="s">
        <v>963</v>
      </c>
      <c r="C57" s="27" t="s">
        <v>902</v>
      </c>
      <c r="D57" s="27" t="s">
        <v>910</v>
      </c>
      <c r="E57" s="27" t="s">
        <v>910</v>
      </c>
    </row>
    <row r="58" spans="1:5">
      <c r="A58" s="27" t="s">
        <v>189</v>
      </c>
      <c r="B58" s="27" t="s">
        <v>964</v>
      </c>
      <c r="C58" s="27" t="s">
        <v>902</v>
      </c>
      <c r="D58" s="27" t="s">
        <v>903</v>
      </c>
      <c r="E58" s="27" t="s">
        <v>904</v>
      </c>
    </row>
    <row r="59" spans="1:5">
      <c r="A59" s="27" t="s">
        <v>526</v>
      </c>
      <c r="B59" s="27" t="s">
        <v>965</v>
      </c>
      <c r="C59" s="27" t="s">
        <v>896</v>
      </c>
      <c r="D59" s="27" t="s">
        <v>899</v>
      </c>
      <c r="E59" s="27" t="s">
        <v>900</v>
      </c>
    </row>
    <row r="60" spans="1:5">
      <c r="A60" s="27" t="s">
        <v>612</v>
      </c>
      <c r="B60" s="27" t="s">
        <v>966</v>
      </c>
      <c r="C60" s="27" t="s">
        <v>893</v>
      </c>
      <c r="D60" s="27" t="s">
        <v>934</v>
      </c>
      <c r="E60" s="27" t="s">
        <v>935</v>
      </c>
    </row>
    <row r="61" spans="1:5">
      <c r="A61" s="27" t="s">
        <v>94</v>
      </c>
      <c r="B61" s="27" t="s">
        <v>967</v>
      </c>
      <c r="C61" s="27" t="s">
        <v>896</v>
      </c>
      <c r="D61" s="27" t="s">
        <v>899</v>
      </c>
      <c r="E61" s="27" t="s">
        <v>900</v>
      </c>
    </row>
    <row r="62" spans="1:5">
      <c r="A62" s="27" t="s">
        <v>294</v>
      </c>
      <c r="B62" s="27" t="s">
        <v>968</v>
      </c>
      <c r="C62" s="27" t="s">
        <v>896</v>
      </c>
      <c r="D62" s="27" t="s">
        <v>897</v>
      </c>
      <c r="E62" s="27" t="s">
        <v>897</v>
      </c>
    </row>
    <row r="63" spans="1:5">
      <c r="A63" s="27" t="s">
        <v>311</v>
      </c>
      <c r="B63" s="27" t="s">
        <v>969</v>
      </c>
      <c r="C63" s="27" t="s">
        <v>902</v>
      </c>
      <c r="D63" s="27" t="s">
        <v>913</v>
      </c>
      <c r="E63" s="27" t="s">
        <v>913</v>
      </c>
    </row>
    <row r="64" spans="1:5">
      <c r="A64" s="27" t="s">
        <v>308</v>
      </c>
      <c r="B64" s="27" t="s">
        <v>970</v>
      </c>
      <c r="C64" s="27" t="s">
        <v>893</v>
      </c>
      <c r="D64" s="27" t="s">
        <v>934</v>
      </c>
      <c r="E64" s="27" t="s">
        <v>935</v>
      </c>
    </row>
    <row r="65" spans="1:5">
      <c r="A65" s="27" t="s">
        <v>234</v>
      </c>
      <c r="B65" s="27" t="s">
        <v>971</v>
      </c>
      <c r="C65" s="27" t="s">
        <v>893</v>
      </c>
      <c r="D65" s="27" t="s">
        <v>913</v>
      </c>
      <c r="E65" s="27" t="s">
        <v>913</v>
      </c>
    </row>
    <row r="66" spans="1:5">
      <c r="A66" s="27" t="s">
        <v>334</v>
      </c>
      <c r="B66" s="27" t="s">
        <v>972</v>
      </c>
      <c r="C66" s="27" t="s">
        <v>896</v>
      </c>
      <c r="D66" s="27" t="s">
        <v>899</v>
      </c>
      <c r="E66" s="27" t="s">
        <v>900</v>
      </c>
    </row>
    <row r="67" spans="1:5">
      <c r="A67" s="27" t="s">
        <v>360</v>
      </c>
      <c r="B67" s="27" t="s">
        <v>973</v>
      </c>
      <c r="C67" s="27" t="s">
        <v>902</v>
      </c>
      <c r="D67" s="27" t="s">
        <v>903</v>
      </c>
      <c r="E67" s="27" t="s">
        <v>904</v>
      </c>
    </row>
    <row r="68" spans="1:5">
      <c r="A68" s="27" t="s">
        <v>317</v>
      </c>
      <c r="B68" s="27" t="s">
        <v>974</v>
      </c>
      <c r="C68" s="27" t="s">
        <v>902</v>
      </c>
      <c r="D68" s="27" t="s">
        <v>899</v>
      </c>
      <c r="E68" s="27" t="s">
        <v>900</v>
      </c>
    </row>
    <row r="69" spans="1:5">
      <c r="A69" s="27" t="s">
        <v>164</v>
      </c>
      <c r="B69" s="27" t="s">
        <v>975</v>
      </c>
      <c r="C69" s="27" t="s">
        <v>893</v>
      </c>
      <c r="D69" s="27" t="s">
        <v>910</v>
      </c>
      <c r="E69" s="27" t="s">
        <v>910</v>
      </c>
    </row>
    <row r="70" spans="1:5">
      <c r="A70" s="27" t="s">
        <v>254</v>
      </c>
      <c r="B70" s="27" t="s">
        <v>976</v>
      </c>
      <c r="C70" s="27" t="s">
        <v>896</v>
      </c>
      <c r="D70" s="27" t="s">
        <v>894</v>
      </c>
      <c r="E70" s="27" t="s">
        <v>894</v>
      </c>
    </row>
    <row r="71" spans="1:5">
      <c r="A71" s="27" t="s">
        <v>348</v>
      </c>
      <c r="B71" s="27" t="s">
        <v>977</v>
      </c>
      <c r="C71" s="27" t="s">
        <v>893</v>
      </c>
      <c r="D71" s="27" t="s">
        <v>910</v>
      </c>
      <c r="E71" s="27" t="s">
        <v>910</v>
      </c>
    </row>
    <row r="72" spans="1:5">
      <c r="A72" s="27" t="s">
        <v>79</v>
      </c>
      <c r="B72" s="27" t="s">
        <v>978</v>
      </c>
      <c r="C72" s="27" t="s">
        <v>902</v>
      </c>
      <c r="D72" s="27" t="s">
        <v>899</v>
      </c>
      <c r="E72" s="27" t="s">
        <v>900</v>
      </c>
    </row>
    <row r="73" spans="1:5">
      <c r="A73" s="27" t="s">
        <v>60</v>
      </c>
      <c r="B73" s="27" t="s">
        <v>979</v>
      </c>
      <c r="C73" s="27" t="s">
        <v>902</v>
      </c>
      <c r="D73" s="27" t="s">
        <v>894</v>
      </c>
      <c r="E73" s="27" t="s">
        <v>894</v>
      </c>
    </row>
    <row r="74" spans="1:5">
      <c r="A74" s="27" t="s">
        <v>126</v>
      </c>
      <c r="B74" s="27" t="s">
        <v>980</v>
      </c>
      <c r="C74" s="27" t="s">
        <v>902</v>
      </c>
      <c r="D74" s="27" t="s">
        <v>910</v>
      </c>
      <c r="E74" s="27" t="s">
        <v>910</v>
      </c>
    </row>
    <row r="75" spans="1:5">
      <c r="A75" s="27" t="s">
        <v>142</v>
      </c>
      <c r="B75" s="27" t="s">
        <v>981</v>
      </c>
      <c r="C75" s="27" t="s">
        <v>902</v>
      </c>
      <c r="D75" s="27" t="s">
        <v>910</v>
      </c>
      <c r="E75" s="27" t="s">
        <v>910</v>
      </c>
    </row>
    <row r="76" spans="1:5">
      <c r="A76" s="27" t="s">
        <v>169</v>
      </c>
      <c r="B76" s="27" t="s">
        <v>982</v>
      </c>
      <c r="C76" s="27" t="s">
        <v>893</v>
      </c>
      <c r="D76" s="27" t="s">
        <v>899</v>
      </c>
      <c r="E76" s="27" t="s">
        <v>900</v>
      </c>
    </row>
    <row r="77" spans="1:5">
      <c r="A77" s="27" t="s">
        <v>329</v>
      </c>
      <c r="B77" s="27" t="s">
        <v>983</v>
      </c>
      <c r="C77" s="27" t="s">
        <v>896</v>
      </c>
      <c r="D77" s="27" t="s">
        <v>907</v>
      </c>
      <c r="E77" s="27" t="s">
        <v>908</v>
      </c>
    </row>
    <row r="78" spans="1:5">
      <c r="A78" s="27" t="s">
        <v>113</v>
      </c>
      <c r="B78" s="27" t="s">
        <v>984</v>
      </c>
      <c r="C78" s="27" t="s">
        <v>893</v>
      </c>
      <c r="D78" s="27" t="s">
        <v>903</v>
      </c>
      <c r="E78" s="27" t="s">
        <v>904</v>
      </c>
    </row>
    <row r="79" spans="1:5">
      <c r="A79" s="27" t="s">
        <v>213</v>
      </c>
      <c r="B79" s="27" t="s">
        <v>985</v>
      </c>
      <c r="C79" s="27" t="s">
        <v>902</v>
      </c>
      <c r="D79" s="27" t="s">
        <v>903</v>
      </c>
      <c r="E79" s="27" t="s">
        <v>904</v>
      </c>
    </row>
    <row r="80" spans="1:5">
      <c r="A80" s="27" t="s">
        <v>417</v>
      </c>
      <c r="B80" s="27" t="s">
        <v>986</v>
      </c>
      <c r="C80" s="27" t="s">
        <v>896</v>
      </c>
      <c r="D80" s="27" t="s">
        <v>910</v>
      </c>
      <c r="E80" s="27" t="s">
        <v>910</v>
      </c>
    </row>
    <row r="81" spans="1:5">
      <c r="A81" s="27" t="s">
        <v>229</v>
      </c>
      <c r="B81" s="27" t="s">
        <v>987</v>
      </c>
      <c r="C81" s="27" t="s">
        <v>896</v>
      </c>
      <c r="D81" s="27" t="s">
        <v>897</v>
      </c>
      <c r="E81" s="27" t="s">
        <v>897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48DC-A3C6-4F53-BCF5-028D2F240A70}">
  <dimension ref="A1:K100"/>
  <sheetViews>
    <sheetView workbookViewId="0">
      <pane ySplit="1" topLeftCell="A2" activePane="bottomLeft" state="frozen"/>
      <selection pane="bottomLeft" activeCell="K23" sqref="K23"/>
    </sheetView>
  </sheetViews>
  <sheetFormatPr baseColWidth="10" defaultColWidth="10.28515625" defaultRowHeight="14.25"/>
  <cols>
    <col min="1" max="1" width="13.28515625" style="27" customWidth="1"/>
    <col min="2" max="2" width="11.42578125" style="27" customWidth="1"/>
    <col min="3" max="3" width="11.7109375" style="27" customWidth="1"/>
    <col min="4" max="4" width="9" style="27" customWidth="1"/>
    <col min="5" max="5" width="12.85546875" style="27" customWidth="1"/>
    <col min="6" max="6" width="12.42578125" style="27" customWidth="1"/>
    <col min="7" max="16384" width="10.28515625" style="27"/>
  </cols>
  <sheetData>
    <row r="1" spans="1:6" ht="15">
      <c r="A1" s="26" t="s">
        <v>39</v>
      </c>
      <c r="B1" s="26" t="s">
        <v>988</v>
      </c>
      <c r="C1" s="26" t="s">
        <v>989</v>
      </c>
      <c r="D1" s="26" t="s">
        <v>990</v>
      </c>
      <c r="E1" s="26" t="s">
        <v>991</v>
      </c>
      <c r="F1" s="26" t="s">
        <v>992</v>
      </c>
    </row>
    <row r="2" spans="1:6">
      <c r="A2" s="27" t="s">
        <v>49</v>
      </c>
      <c r="B2" s="27" t="s">
        <v>993</v>
      </c>
      <c r="C2" s="27" t="s">
        <v>994</v>
      </c>
      <c r="D2" s="27" t="s">
        <v>995</v>
      </c>
      <c r="E2" s="29">
        <v>75000</v>
      </c>
      <c r="F2" s="29">
        <v>52430.15</v>
      </c>
    </row>
    <row r="3" spans="1:6">
      <c r="A3" s="27" t="s">
        <v>161</v>
      </c>
      <c r="B3" s="27" t="s">
        <v>996</v>
      </c>
      <c r="C3" s="27" t="s">
        <v>997</v>
      </c>
      <c r="D3" s="27" t="s">
        <v>995</v>
      </c>
      <c r="E3" s="29">
        <v>75000</v>
      </c>
      <c r="F3" s="29">
        <v>55985.69</v>
      </c>
    </row>
    <row r="4" spans="1:6">
      <c r="A4" s="27" t="s">
        <v>127</v>
      </c>
      <c r="B4" s="27" t="s">
        <v>998</v>
      </c>
      <c r="C4" s="27" t="s">
        <v>999</v>
      </c>
      <c r="D4" s="27" t="s">
        <v>1000</v>
      </c>
      <c r="E4" s="29">
        <v>22000</v>
      </c>
      <c r="F4" s="29">
        <v>15715.31</v>
      </c>
    </row>
    <row r="5" spans="1:6">
      <c r="A5" s="27" t="s">
        <v>118</v>
      </c>
      <c r="B5" s="27" t="s">
        <v>1001</v>
      </c>
      <c r="C5" s="27" t="s">
        <v>1002</v>
      </c>
      <c r="D5" s="27" t="s">
        <v>995</v>
      </c>
      <c r="E5" s="29">
        <v>125000</v>
      </c>
      <c r="F5" s="29">
        <v>69034.89</v>
      </c>
    </row>
    <row r="6" spans="1:6">
      <c r="A6" s="27" t="s">
        <v>110</v>
      </c>
      <c r="B6" s="27" t="s">
        <v>1003</v>
      </c>
      <c r="C6" s="27" t="s">
        <v>994</v>
      </c>
      <c r="D6" s="27" t="s">
        <v>1000</v>
      </c>
      <c r="E6" s="29">
        <v>42000</v>
      </c>
      <c r="F6" s="29">
        <v>28922.68</v>
      </c>
    </row>
    <row r="7" spans="1:6">
      <c r="A7" s="27" t="s">
        <v>130</v>
      </c>
      <c r="B7" s="27" t="s">
        <v>1004</v>
      </c>
      <c r="C7" s="27" t="s">
        <v>997</v>
      </c>
      <c r="D7" s="27" t="s">
        <v>1005</v>
      </c>
      <c r="E7" s="29">
        <v>55000</v>
      </c>
      <c r="F7" s="29">
        <v>38907.22</v>
      </c>
    </row>
    <row r="8" spans="1:6">
      <c r="A8" s="27" t="s">
        <v>61</v>
      </c>
      <c r="B8" s="27" t="s">
        <v>1006</v>
      </c>
      <c r="C8" s="27" t="s">
        <v>999</v>
      </c>
      <c r="D8" s="27" t="s">
        <v>1007</v>
      </c>
      <c r="E8" s="29">
        <v>15000</v>
      </c>
      <c r="F8" s="29">
        <v>9407.81</v>
      </c>
    </row>
    <row r="9" spans="1:6">
      <c r="A9" s="27" t="s">
        <v>85</v>
      </c>
      <c r="B9" s="27" t="s">
        <v>1008</v>
      </c>
      <c r="C9" s="27" t="s">
        <v>1002</v>
      </c>
      <c r="D9" s="27" t="s">
        <v>1007</v>
      </c>
      <c r="E9" s="29">
        <v>30000</v>
      </c>
      <c r="F9" s="29">
        <v>21807.31</v>
      </c>
    </row>
    <row r="10" spans="1:6">
      <c r="A10" s="27" t="s">
        <v>99</v>
      </c>
      <c r="B10" s="27" t="s">
        <v>1009</v>
      </c>
      <c r="C10" s="27" t="s">
        <v>994</v>
      </c>
      <c r="D10" s="27" t="s">
        <v>1007</v>
      </c>
      <c r="E10" s="29">
        <v>95000</v>
      </c>
      <c r="F10" s="29">
        <v>58923.39</v>
      </c>
    </row>
    <row r="11" spans="1:6">
      <c r="A11" s="27" t="s">
        <v>80</v>
      </c>
      <c r="B11" s="27" t="s">
        <v>1010</v>
      </c>
      <c r="C11" s="27" t="s">
        <v>997</v>
      </c>
      <c r="D11" s="27" t="s">
        <v>1011</v>
      </c>
      <c r="E11" s="29">
        <v>22000</v>
      </c>
      <c r="F11" s="29">
        <v>15746.75</v>
      </c>
    </row>
    <row r="12" spans="1:6">
      <c r="A12" s="27" t="s">
        <v>68</v>
      </c>
      <c r="B12" s="27" t="s">
        <v>1012</v>
      </c>
      <c r="C12" s="27" t="s">
        <v>999</v>
      </c>
      <c r="D12" s="27" t="s">
        <v>1005</v>
      </c>
      <c r="E12" s="29">
        <v>42000</v>
      </c>
      <c r="F12" s="29">
        <v>24466.31</v>
      </c>
    </row>
    <row r="13" spans="1:6">
      <c r="A13" s="27" t="s">
        <v>75</v>
      </c>
      <c r="B13" s="27" t="s">
        <v>1013</v>
      </c>
      <c r="C13" s="27" t="s">
        <v>1002</v>
      </c>
      <c r="D13" s="27" t="s">
        <v>1000</v>
      </c>
      <c r="E13" s="29">
        <v>15000</v>
      </c>
      <c r="F13" s="29">
        <v>9134.73</v>
      </c>
    </row>
    <row r="14" spans="1:6">
      <c r="A14" s="27" t="s">
        <v>95</v>
      </c>
      <c r="B14" s="27" t="s">
        <v>1014</v>
      </c>
      <c r="C14" s="27" t="s">
        <v>994</v>
      </c>
      <c r="D14" s="27" t="s">
        <v>1005</v>
      </c>
      <c r="E14" s="29">
        <v>55000</v>
      </c>
      <c r="F14" s="29">
        <v>40718.28</v>
      </c>
    </row>
    <row r="15" spans="1:6">
      <c r="A15" s="27" t="s">
        <v>146</v>
      </c>
      <c r="B15" s="27" t="s">
        <v>1015</v>
      </c>
      <c r="C15" s="27" t="s">
        <v>997</v>
      </c>
      <c r="D15" s="27" t="s">
        <v>1007</v>
      </c>
      <c r="E15" s="29">
        <v>75000</v>
      </c>
      <c r="F15" s="29">
        <v>43801.58</v>
      </c>
    </row>
    <row r="16" spans="1:6">
      <c r="A16" s="27" t="s">
        <v>114</v>
      </c>
      <c r="B16" s="27" t="s">
        <v>1016</v>
      </c>
      <c r="C16" s="27" t="s">
        <v>999</v>
      </c>
      <c r="D16" s="27" t="s">
        <v>1011</v>
      </c>
      <c r="E16" s="29">
        <v>30000</v>
      </c>
      <c r="F16" s="29">
        <v>20891.91</v>
      </c>
    </row>
    <row r="17" spans="1:11">
      <c r="A17" s="27" t="s">
        <v>143</v>
      </c>
      <c r="B17" s="27" t="s">
        <v>1017</v>
      </c>
      <c r="C17" s="27" t="s">
        <v>1002</v>
      </c>
      <c r="D17" s="27" t="s">
        <v>1011</v>
      </c>
      <c r="E17" s="29">
        <v>22000</v>
      </c>
      <c r="F17" s="29">
        <v>13586.98</v>
      </c>
    </row>
    <row r="18" spans="1:11">
      <c r="A18" s="27" t="s">
        <v>139</v>
      </c>
      <c r="B18" s="27" t="s">
        <v>1018</v>
      </c>
      <c r="C18" s="27" t="s">
        <v>994</v>
      </c>
      <c r="D18" s="27" t="s">
        <v>1007</v>
      </c>
      <c r="E18" s="29">
        <v>125000</v>
      </c>
      <c r="F18" s="29">
        <v>86362.62</v>
      </c>
    </row>
    <row r="19" spans="1:11">
      <c r="A19" s="27" t="s">
        <v>190</v>
      </c>
      <c r="B19" s="27" t="s">
        <v>1019</v>
      </c>
      <c r="C19" s="27" t="s">
        <v>997</v>
      </c>
      <c r="D19" s="27" t="s">
        <v>1007</v>
      </c>
      <c r="E19" s="29">
        <v>30000</v>
      </c>
      <c r="F19" s="29">
        <v>20143.91</v>
      </c>
    </row>
    <row r="20" spans="1:11">
      <c r="A20" s="27" t="s">
        <v>55</v>
      </c>
      <c r="B20" s="27" t="s">
        <v>1020</v>
      </c>
      <c r="C20" s="27" t="s">
        <v>999</v>
      </c>
      <c r="D20" s="27" t="s">
        <v>1000</v>
      </c>
      <c r="E20" s="29">
        <v>30000</v>
      </c>
      <c r="F20" s="29">
        <v>16821.330000000002</v>
      </c>
    </row>
    <row r="21" spans="1:11">
      <c r="A21" s="27" t="s">
        <v>272</v>
      </c>
      <c r="B21" s="27" t="s">
        <v>1021</v>
      </c>
      <c r="C21" s="27" t="s">
        <v>1002</v>
      </c>
      <c r="D21" s="27" t="s">
        <v>1007</v>
      </c>
      <c r="E21" s="29">
        <v>42000</v>
      </c>
      <c r="F21" s="29">
        <v>31284.95</v>
      </c>
    </row>
    <row r="22" spans="1:11">
      <c r="A22" s="27" t="s">
        <v>104</v>
      </c>
      <c r="B22" s="27" t="s">
        <v>1022</v>
      </c>
      <c r="C22" s="27" t="s">
        <v>994</v>
      </c>
      <c r="D22" s="27" t="s">
        <v>1000</v>
      </c>
      <c r="E22" s="29">
        <v>55000</v>
      </c>
      <c r="F22" s="29">
        <v>37516.58</v>
      </c>
    </row>
    <row r="23" spans="1:11">
      <c r="A23" s="27" t="s">
        <v>173</v>
      </c>
      <c r="B23" s="27" t="s">
        <v>1023</v>
      </c>
      <c r="C23" s="27" t="s">
        <v>997</v>
      </c>
      <c r="D23" s="27" t="s">
        <v>1007</v>
      </c>
      <c r="E23" s="29">
        <v>42000</v>
      </c>
      <c r="F23" s="29">
        <v>23905.69</v>
      </c>
      <c r="K23" s="28"/>
    </row>
    <row r="24" spans="1:11">
      <c r="A24" s="27" t="s">
        <v>91</v>
      </c>
      <c r="B24" s="27" t="s">
        <v>1024</v>
      </c>
      <c r="C24" s="27" t="s">
        <v>999</v>
      </c>
      <c r="D24" s="27" t="s">
        <v>1000</v>
      </c>
      <c r="E24" s="29">
        <v>125000</v>
      </c>
      <c r="F24" s="29">
        <v>72589.75</v>
      </c>
    </row>
    <row r="25" spans="1:11">
      <c r="A25" s="27" t="s">
        <v>220</v>
      </c>
      <c r="B25" s="27" t="s">
        <v>1025</v>
      </c>
      <c r="C25" s="27" t="s">
        <v>1002</v>
      </c>
      <c r="D25" s="27" t="s">
        <v>1000</v>
      </c>
      <c r="E25" s="29">
        <v>15000</v>
      </c>
      <c r="F25" s="29">
        <v>9532.82</v>
      </c>
    </row>
    <row r="26" spans="1:11">
      <c r="E26" s="29"/>
      <c r="F26" s="29"/>
    </row>
    <row r="27" spans="1:11">
      <c r="E27" s="29"/>
      <c r="F27" s="29"/>
    </row>
    <row r="28" spans="1:11">
      <c r="E28" s="29"/>
      <c r="F28" s="29"/>
    </row>
    <row r="29" spans="1:11">
      <c r="E29" s="29"/>
      <c r="F29" s="29"/>
    </row>
    <row r="30" spans="1:11">
      <c r="E30" s="29"/>
      <c r="F30" s="29"/>
    </row>
    <row r="31" spans="1:11">
      <c r="E31" s="29"/>
      <c r="F31" s="29"/>
    </row>
    <row r="32" spans="1:11">
      <c r="E32" s="29"/>
      <c r="F32" s="29"/>
    </row>
    <row r="33" spans="5:6">
      <c r="E33" s="29"/>
      <c r="F33" s="29"/>
    </row>
    <row r="34" spans="5:6">
      <c r="E34" s="29"/>
      <c r="F34" s="29"/>
    </row>
    <row r="35" spans="5:6">
      <c r="E35" s="29"/>
      <c r="F35" s="29"/>
    </row>
    <row r="36" spans="5:6">
      <c r="E36" s="29"/>
      <c r="F36" s="29"/>
    </row>
    <row r="37" spans="5:6">
      <c r="E37" s="29"/>
      <c r="F37" s="29"/>
    </row>
    <row r="38" spans="5:6">
      <c r="E38" s="29"/>
      <c r="F38" s="29"/>
    </row>
    <row r="39" spans="5:6">
      <c r="E39" s="29"/>
      <c r="F39" s="29"/>
    </row>
    <row r="40" spans="5:6">
      <c r="E40" s="29"/>
      <c r="F40" s="29"/>
    </row>
    <row r="41" spans="5:6">
      <c r="E41" s="29"/>
      <c r="F41" s="29"/>
    </row>
    <row r="42" spans="5:6">
      <c r="E42" s="29"/>
      <c r="F42" s="29"/>
    </row>
    <row r="43" spans="5:6">
      <c r="E43" s="29"/>
      <c r="F43" s="29"/>
    </row>
    <row r="44" spans="5:6">
      <c r="E44" s="29"/>
      <c r="F44" s="29"/>
    </row>
    <row r="45" spans="5:6">
      <c r="E45" s="29"/>
      <c r="F45" s="29"/>
    </row>
    <row r="46" spans="5:6">
      <c r="E46" s="29"/>
      <c r="F46" s="29"/>
    </row>
    <row r="47" spans="5:6">
      <c r="E47" s="29"/>
      <c r="F47" s="29"/>
    </row>
    <row r="48" spans="5:6">
      <c r="E48" s="29"/>
      <c r="F48" s="29"/>
    </row>
    <row r="49" spans="5:6">
      <c r="E49" s="29"/>
      <c r="F49" s="29"/>
    </row>
    <row r="50" spans="5:6">
      <c r="E50" s="29"/>
      <c r="F50" s="29"/>
    </row>
    <row r="51" spans="5:6">
      <c r="E51" s="29"/>
      <c r="F51" s="29"/>
    </row>
    <row r="52" spans="5:6">
      <c r="E52" s="29"/>
      <c r="F52" s="29"/>
    </row>
    <row r="53" spans="5:6">
      <c r="E53" s="29"/>
      <c r="F53" s="29"/>
    </row>
    <row r="54" spans="5:6">
      <c r="E54" s="29"/>
      <c r="F54" s="29"/>
    </row>
    <row r="55" spans="5:6">
      <c r="E55" s="29"/>
      <c r="F55" s="29"/>
    </row>
    <row r="56" spans="5:6">
      <c r="E56" s="29"/>
      <c r="F56" s="29"/>
    </row>
    <row r="57" spans="5:6">
      <c r="E57" s="29"/>
      <c r="F57" s="29"/>
    </row>
    <row r="58" spans="5:6">
      <c r="E58" s="29"/>
      <c r="F58" s="29"/>
    </row>
    <row r="59" spans="5:6">
      <c r="E59" s="29"/>
      <c r="F59" s="29"/>
    </row>
    <row r="60" spans="5:6">
      <c r="E60" s="29"/>
      <c r="F60" s="29"/>
    </row>
    <row r="61" spans="5:6">
      <c r="E61" s="29"/>
      <c r="F61" s="29"/>
    </row>
    <row r="62" spans="5:6">
      <c r="E62" s="29"/>
      <c r="F62" s="29"/>
    </row>
    <row r="63" spans="5:6">
      <c r="E63" s="29"/>
      <c r="F63" s="29"/>
    </row>
    <row r="64" spans="5:6">
      <c r="E64" s="29"/>
      <c r="F64" s="29"/>
    </row>
    <row r="65" spans="5:6">
      <c r="E65" s="29"/>
      <c r="F65" s="29"/>
    </row>
    <row r="66" spans="5:6">
      <c r="E66" s="29"/>
      <c r="F66" s="29"/>
    </row>
    <row r="67" spans="5:6">
      <c r="E67" s="29"/>
      <c r="F67" s="29"/>
    </row>
    <row r="68" spans="5:6">
      <c r="E68" s="29"/>
      <c r="F68" s="29"/>
    </row>
    <row r="69" spans="5:6">
      <c r="E69" s="29"/>
      <c r="F69" s="29"/>
    </row>
    <row r="70" spans="5:6">
      <c r="E70" s="29"/>
      <c r="F70" s="29"/>
    </row>
    <row r="71" spans="5:6">
      <c r="E71" s="29"/>
      <c r="F71" s="29"/>
    </row>
    <row r="72" spans="5:6">
      <c r="E72" s="29"/>
      <c r="F72" s="29"/>
    </row>
    <row r="73" spans="5:6">
      <c r="E73" s="29"/>
      <c r="F73" s="29"/>
    </row>
    <row r="74" spans="5:6">
      <c r="E74" s="29"/>
      <c r="F74" s="29"/>
    </row>
    <row r="75" spans="5:6">
      <c r="E75" s="29"/>
      <c r="F75" s="29"/>
    </row>
    <row r="76" spans="5:6">
      <c r="E76" s="29"/>
      <c r="F76" s="29"/>
    </row>
    <row r="77" spans="5:6">
      <c r="E77" s="29"/>
      <c r="F77" s="29"/>
    </row>
    <row r="78" spans="5:6">
      <c r="E78" s="29"/>
      <c r="F78" s="29"/>
    </row>
    <row r="79" spans="5:6">
      <c r="E79" s="29"/>
      <c r="F79" s="29"/>
    </row>
    <row r="80" spans="5:6">
      <c r="E80" s="29"/>
      <c r="F80" s="29"/>
    </row>
    <row r="81" spans="5:6">
      <c r="E81" s="29"/>
      <c r="F81" s="29"/>
    </row>
    <row r="82" spans="5:6">
      <c r="E82" s="29"/>
      <c r="F82" s="29"/>
    </row>
    <row r="83" spans="5:6">
      <c r="E83" s="29"/>
      <c r="F83" s="29"/>
    </row>
    <row r="84" spans="5:6">
      <c r="E84" s="29"/>
      <c r="F84" s="29"/>
    </row>
    <row r="85" spans="5:6">
      <c r="E85" s="29"/>
      <c r="F85" s="29"/>
    </row>
    <row r="86" spans="5:6">
      <c r="E86" s="29"/>
      <c r="F86" s="29"/>
    </row>
    <row r="87" spans="5:6">
      <c r="E87" s="29"/>
      <c r="F87" s="29"/>
    </row>
    <row r="88" spans="5:6">
      <c r="E88" s="29"/>
      <c r="F88" s="29"/>
    </row>
    <row r="89" spans="5:6">
      <c r="E89" s="29"/>
      <c r="F89" s="29"/>
    </row>
    <row r="90" spans="5:6">
      <c r="E90" s="29"/>
      <c r="F90" s="29"/>
    </row>
    <row r="91" spans="5:6">
      <c r="E91" s="29"/>
      <c r="F91" s="29"/>
    </row>
    <row r="92" spans="5:6">
      <c r="E92" s="29"/>
      <c r="F92" s="29"/>
    </row>
    <row r="93" spans="5:6">
      <c r="E93" s="29"/>
      <c r="F93" s="29"/>
    </row>
    <row r="94" spans="5:6">
      <c r="E94" s="29"/>
      <c r="F94" s="29"/>
    </row>
    <row r="95" spans="5:6">
      <c r="E95" s="29"/>
      <c r="F95" s="29"/>
    </row>
    <row r="96" spans="5:6">
      <c r="E96" s="29"/>
      <c r="F96" s="29"/>
    </row>
    <row r="97" spans="5:6">
      <c r="E97" s="29"/>
      <c r="F97" s="29"/>
    </row>
    <row r="98" spans="5:6">
      <c r="E98" s="29"/>
      <c r="F98" s="29"/>
    </row>
    <row r="99" spans="5:6">
      <c r="E99" s="29"/>
      <c r="F99" s="29"/>
    </row>
    <row r="100" spans="5:6">
      <c r="E100" s="29"/>
      <c r="F100" s="2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A6C4-4C33-4D27-B48D-3DEC6226018C}">
  <dimension ref="A1:F366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10.28515625" defaultRowHeight="14.25"/>
  <cols>
    <col min="1" max="1" width="11.28515625" style="27" bestFit="1" customWidth="1"/>
    <col min="2" max="2" width="7" style="27" customWidth="1"/>
    <col min="3" max="3" width="14.28515625" style="27" customWidth="1"/>
    <col min="4" max="4" width="10.42578125" style="27" customWidth="1"/>
    <col min="5" max="5" width="11.7109375" style="27" customWidth="1"/>
    <col min="6" max="6" width="13.28515625" style="27" customWidth="1"/>
    <col min="7" max="16384" width="10.28515625" style="27"/>
  </cols>
  <sheetData>
    <row r="1" spans="1:6" ht="15">
      <c r="A1" s="26" t="s">
        <v>37</v>
      </c>
      <c r="B1" s="26" t="s">
        <v>1026</v>
      </c>
      <c r="C1" s="26" t="s">
        <v>1027</v>
      </c>
      <c r="D1" s="26" t="s">
        <v>1028</v>
      </c>
      <c r="E1" s="26" t="s">
        <v>1029</v>
      </c>
      <c r="F1" s="26" t="s">
        <v>1030</v>
      </c>
    </row>
    <row r="2" spans="1:6">
      <c r="A2" s="30">
        <v>46023</v>
      </c>
      <c r="B2" s="27">
        <v>2026</v>
      </c>
      <c r="C2" s="27">
        <v>1</v>
      </c>
      <c r="D2" s="27" t="s">
        <v>1031</v>
      </c>
      <c r="E2" s="27" t="s">
        <v>1032</v>
      </c>
      <c r="F2" s="27" t="s">
        <v>1033</v>
      </c>
    </row>
    <row r="3" spans="1:6">
      <c r="A3" s="30">
        <v>46024</v>
      </c>
      <c r="B3" s="27">
        <v>2026</v>
      </c>
      <c r="C3" s="27">
        <v>1</v>
      </c>
      <c r="D3" s="27" t="s">
        <v>1031</v>
      </c>
      <c r="E3" s="27" t="s">
        <v>1032</v>
      </c>
      <c r="F3" s="27" t="s">
        <v>1034</v>
      </c>
    </row>
    <row r="4" spans="1:6">
      <c r="A4" s="30">
        <v>46025</v>
      </c>
      <c r="B4" s="27">
        <v>2026</v>
      </c>
      <c r="C4" s="27">
        <v>1</v>
      </c>
      <c r="D4" s="27" t="s">
        <v>1031</v>
      </c>
      <c r="E4" s="27" t="s">
        <v>1032</v>
      </c>
      <c r="F4" s="27" t="s">
        <v>1035</v>
      </c>
    </row>
    <row r="5" spans="1:6">
      <c r="A5" s="30">
        <v>46026</v>
      </c>
      <c r="B5" s="27">
        <v>2026</v>
      </c>
      <c r="C5" s="27">
        <v>1</v>
      </c>
      <c r="D5" s="27" t="s">
        <v>1031</v>
      </c>
      <c r="E5" s="27" t="s">
        <v>1032</v>
      </c>
      <c r="F5" s="27" t="s">
        <v>1036</v>
      </c>
    </row>
    <row r="6" spans="1:6">
      <c r="A6" s="30">
        <v>46027</v>
      </c>
      <c r="B6" s="27">
        <v>2026</v>
      </c>
      <c r="C6" s="27">
        <v>1</v>
      </c>
      <c r="D6" s="27" t="s">
        <v>1031</v>
      </c>
      <c r="E6" s="27" t="s">
        <v>1032</v>
      </c>
      <c r="F6" s="27" t="s">
        <v>1037</v>
      </c>
    </row>
    <row r="7" spans="1:6">
      <c r="A7" s="30">
        <v>46028</v>
      </c>
      <c r="B7" s="27">
        <v>2026</v>
      </c>
      <c r="C7" s="27">
        <v>1</v>
      </c>
      <c r="D7" s="27" t="s">
        <v>1031</v>
      </c>
      <c r="E7" s="27" t="s">
        <v>1032</v>
      </c>
      <c r="F7" s="27" t="s">
        <v>1038</v>
      </c>
    </row>
    <row r="8" spans="1:6">
      <c r="A8" s="30">
        <v>46029</v>
      </c>
      <c r="B8" s="27">
        <v>2026</v>
      </c>
      <c r="C8" s="27">
        <v>1</v>
      </c>
      <c r="D8" s="27" t="s">
        <v>1031</v>
      </c>
      <c r="E8" s="27" t="s">
        <v>1032</v>
      </c>
      <c r="F8" s="27" t="s">
        <v>1039</v>
      </c>
    </row>
    <row r="9" spans="1:6">
      <c r="A9" s="30">
        <v>46030</v>
      </c>
      <c r="B9" s="27">
        <v>2026</v>
      </c>
      <c r="C9" s="27">
        <v>1</v>
      </c>
      <c r="D9" s="27" t="s">
        <v>1031</v>
      </c>
      <c r="E9" s="27" t="s">
        <v>1032</v>
      </c>
      <c r="F9" s="27" t="s">
        <v>1033</v>
      </c>
    </row>
    <row r="10" spans="1:6">
      <c r="A10" s="30">
        <v>46031</v>
      </c>
      <c r="B10" s="27">
        <v>2026</v>
      </c>
      <c r="C10" s="27">
        <v>1</v>
      </c>
      <c r="D10" s="27" t="s">
        <v>1031</v>
      </c>
      <c r="E10" s="27" t="s">
        <v>1032</v>
      </c>
      <c r="F10" s="27" t="s">
        <v>1034</v>
      </c>
    </row>
    <row r="11" spans="1:6">
      <c r="A11" s="30">
        <v>46032</v>
      </c>
      <c r="B11" s="27">
        <v>2026</v>
      </c>
      <c r="C11" s="27">
        <v>1</v>
      </c>
      <c r="D11" s="27" t="s">
        <v>1031</v>
      </c>
      <c r="E11" s="27" t="s">
        <v>1032</v>
      </c>
      <c r="F11" s="27" t="s">
        <v>1035</v>
      </c>
    </row>
    <row r="12" spans="1:6">
      <c r="A12" s="30">
        <v>46033</v>
      </c>
      <c r="B12" s="27">
        <v>2026</v>
      </c>
      <c r="C12" s="27">
        <v>1</v>
      </c>
      <c r="D12" s="27" t="s">
        <v>1031</v>
      </c>
      <c r="E12" s="27" t="s">
        <v>1032</v>
      </c>
      <c r="F12" s="27" t="s">
        <v>1036</v>
      </c>
    </row>
    <row r="13" spans="1:6">
      <c r="A13" s="30">
        <v>46034</v>
      </c>
      <c r="B13" s="27">
        <v>2026</v>
      </c>
      <c r="C13" s="27">
        <v>1</v>
      </c>
      <c r="D13" s="27" t="s">
        <v>1031</v>
      </c>
      <c r="E13" s="27" t="s">
        <v>1032</v>
      </c>
      <c r="F13" s="27" t="s">
        <v>1037</v>
      </c>
    </row>
    <row r="14" spans="1:6">
      <c r="A14" s="30">
        <v>46035</v>
      </c>
      <c r="B14" s="27">
        <v>2026</v>
      </c>
      <c r="C14" s="27">
        <v>1</v>
      </c>
      <c r="D14" s="27" t="s">
        <v>1031</v>
      </c>
      <c r="E14" s="27" t="s">
        <v>1032</v>
      </c>
      <c r="F14" s="27" t="s">
        <v>1038</v>
      </c>
    </row>
    <row r="15" spans="1:6">
      <c r="A15" s="30">
        <v>46036</v>
      </c>
      <c r="B15" s="27">
        <v>2026</v>
      </c>
      <c r="C15" s="27">
        <v>1</v>
      </c>
      <c r="D15" s="27" t="s">
        <v>1031</v>
      </c>
      <c r="E15" s="27" t="s">
        <v>1032</v>
      </c>
      <c r="F15" s="27" t="s">
        <v>1039</v>
      </c>
    </row>
    <row r="16" spans="1:6">
      <c r="A16" s="30">
        <v>46037</v>
      </c>
      <c r="B16" s="27">
        <v>2026</v>
      </c>
      <c r="C16" s="27">
        <v>1</v>
      </c>
      <c r="D16" s="27" t="s">
        <v>1031</v>
      </c>
      <c r="E16" s="27" t="s">
        <v>1032</v>
      </c>
      <c r="F16" s="27" t="s">
        <v>1033</v>
      </c>
    </row>
    <row r="17" spans="1:6">
      <c r="A17" s="30">
        <v>46038</v>
      </c>
      <c r="B17" s="27">
        <v>2026</v>
      </c>
      <c r="C17" s="27">
        <v>1</v>
      </c>
      <c r="D17" s="27" t="s">
        <v>1031</v>
      </c>
      <c r="E17" s="27" t="s">
        <v>1032</v>
      </c>
      <c r="F17" s="27" t="s">
        <v>1034</v>
      </c>
    </row>
    <row r="18" spans="1:6">
      <c r="A18" s="30">
        <v>46039</v>
      </c>
      <c r="B18" s="27">
        <v>2026</v>
      </c>
      <c r="C18" s="27">
        <v>1</v>
      </c>
      <c r="D18" s="27" t="s">
        <v>1031</v>
      </c>
      <c r="E18" s="27" t="s">
        <v>1032</v>
      </c>
      <c r="F18" s="27" t="s">
        <v>1035</v>
      </c>
    </row>
    <row r="19" spans="1:6">
      <c r="A19" s="30">
        <v>46040</v>
      </c>
      <c r="B19" s="27">
        <v>2026</v>
      </c>
      <c r="C19" s="27">
        <v>1</v>
      </c>
      <c r="D19" s="27" t="s">
        <v>1031</v>
      </c>
      <c r="E19" s="27" t="s">
        <v>1032</v>
      </c>
      <c r="F19" s="27" t="s">
        <v>1036</v>
      </c>
    </row>
    <row r="20" spans="1:6">
      <c r="A20" s="30">
        <v>46041</v>
      </c>
      <c r="B20" s="27">
        <v>2026</v>
      </c>
      <c r="C20" s="27">
        <v>1</v>
      </c>
      <c r="D20" s="27" t="s">
        <v>1031</v>
      </c>
      <c r="E20" s="27" t="s">
        <v>1032</v>
      </c>
      <c r="F20" s="27" t="s">
        <v>1037</v>
      </c>
    </row>
    <row r="21" spans="1:6">
      <c r="A21" s="30">
        <v>46042</v>
      </c>
      <c r="B21" s="27">
        <v>2026</v>
      </c>
      <c r="C21" s="27">
        <v>1</v>
      </c>
      <c r="D21" s="27" t="s">
        <v>1031</v>
      </c>
      <c r="E21" s="27" t="s">
        <v>1032</v>
      </c>
      <c r="F21" s="27" t="s">
        <v>1038</v>
      </c>
    </row>
    <row r="22" spans="1:6">
      <c r="A22" s="30">
        <v>46043</v>
      </c>
      <c r="B22" s="27">
        <v>2026</v>
      </c>
      <c r="C22" s="27">
        <v>1</v>
      </c>
      <c r="D22" s="27" t="s">
        <v>1031</v>
      </c>
      <c r="E22" s="27" t="s">
        <v>1032</v>
      </c>
      <c r="F22" s="27" t="s">
        <v>1039</v>
      </c>
    </row>
    <row r="23" spans="1:6">
      <c r="A23" s="30">
        <v>46044</v>
      </c>
      <c r="B23" s="27">
        <v>2026</v>
      </c>
      <c r="C23" s="27">
        <v>1</v>
      </c>
      <c r="D23" s="27" t="s">
        <v>1031</v>
      </c>
      <c r="E23" s="27" t="s">
        <v>1032</v>
      </c>
      <c r="F23" s="27" t="s">
        <v>1033</v>
      </c>
    </row>
    <row r="24" spans="1:6">
      <c r="A24" s="30">
        <v>46045</v>
      </c>
      <c r="B24" s="27">
        <v>2026</v>
      </c>
      <c r="C24" s="27">
        <v>1</v>
      </c>
      <c r="D24" s="27" t="s">
        <v>1031</v>
      </c>
      <c r="E24" s="27" t="s">
        <v>1032</v>
      </c>
      <c r="F24" s="27" t="s">
        <v>1034</v>
      </c>
    </row>
    <row r="25" spans="1:6">
      <c r="A25" s="30">
        <v>46046</v>
      </c>
      <c r="B25" s="27">
        <v>2026</v>
      </c>
      <c r="C25" s="27">
        <v>1</v>
      </c>
      <c r="D25" s="27" t="s">
        <v>1031</v>
      </c>
      <c r="E25" s="27" t="s">
        <v>1032</v>
      </c>
      <c r="F25" s="27" t="s">
        <v>1035</v>
      </c>
    </row>
    <row r="26" spans="1:6">
      <c r="A26" s="30">
        <v>46047</v>
      </c>
      <c r="B26" s="27">
        <v>2026</v>
      </c>
      <c r="C26" s="27">
        <v>1</v>
      </c>
      <c r="D26" s="27" t="s">
        <v>1031</v>
      </c>
      <c r="E26" s="27" t="s">
        <v>1032</v>
      </c>
      <c r="F26" s="27" t="s">
        <v>1036</v>
      </c>
    </row>
    <row r="27" spans="1:6">
      <c r="A27" s="30">
        <v>46048</v>
      </c>
      <c r="B27" s="27">
        <v>2026</v>
      </c>
      <c r="C27" s="27">
        <v>1</v>
      </c>
      <c r="D27" s="27" t="s">
        <v>1031</v>
      </c>
      <c r="E27" s="27" t="s">
        <v>1032</v>
      </c>
      <c r="F27" s="27" t="s">
        <v>1037</v>
      </c>
    </row>
    <row r="28" spans="1:6">
      <c r="A28" s="30">
        <v>46049</v>
      </c>
      <c r="B28" s="27">
        <v>2026</v>
      </c>
      <c r="C28" s="27">
        <v>1</v>
      </c>
      <c r="D28" s="27" t="s">
        <v>1031</v>
      </c>
      <c r="E28" s="27" t="s">
        <v>1032</v>
      </c>
      <c r="F28" s="27" t="s">
        <v>1038</v>
      </c>
    </row>
    <row r="29" spans="1:6">
      <c r="A29" s="30">
        <v>46050</v>
      </c>
      <c r="B29" s="27">
        <v>2026</v>
      </c>
      <c r="C29" s="27">
        <v>1</v>
      </c>
      <c r="D29" s="27" t="s">
        <v>1031</v>
      </c>
      <c r="E29" s="27" t="s">
        <v>1032</v>
      </c>
      <c r="F29" s="27" t="s">
        <v>1039</v>
      </c>
    </row>
    <row r="30" spans="1:6">
      <c r="A30" s="30">
        <v>46051</v>
      </c>
      <c r="B30" s="27">
        <v>2026</v>
      </c>
      <c r="C30" s="27">
        <v>1</v>
      </c>
      <c r="D30" s="27" t="s">
        <v>1031</v>
      </c>
      <c r="E30" s="27" t="s">
        <v>1032</v>
      </c>
      <c r="F30" s="27" t="s">
        <v>1033</v>
      </c>
    </row>
    <row r="31" spans="1:6">
      <c r="A31" s="30">
        <v>46052</v>
      </c>
      <c r="B31" s="27">
        <v>2026</v>
      </c>
      <c r="C31" s="27">
        <v>1</v>
      </c>
      <c r="D31" s="27" t="s">
        <v>1031</v>
      </c>
      <c r="E31" s="27" t="s">
        <v>1032</v>
      </c>
      <c r="F31" s="27" t="s">
        <v>1034</v>
      </c>
    </row>
    <row r="32" spans="1:6">
      <c r="A32" s="30">
        <v>46053</v>
      </c>
      <c r="B32" s="27">
        <v>2026</v>
      </c>
      <c r="C32" s="27">
        <v>1</v>
      </c>
      <c r="D32" s="27" t="s">
        <v>1031</v>
      </c>
      <c r="E32" s="27" t="s">
        <v>1032</v>
      </c>
      <c r="F32" s="27" t="s">
        <v>1035</v>
      </c>
    </row>
    <row r="33" spans="1:6">
      <c r="A33" s="30">
        <v>46054</v>
      </c>
      <c r="B33" s="27">
        <v>2026</v>
      </c>
      <c r="C33" s="27">
        <v>2</v>
      </c>
      <c r="D33" s="27" t="s">
        <v>1040</v>
      </c>
      <c r="E33" s="27" t="s">
        <v>1032</v>
      </c>
      <c r="F33" s="27" t="s">
        <v>1036</v>
      </c>
    </row>
    <row r="34" spans="1:6">
      <c r="A34" s="30">
        <v>46055</v>
      </c>
      <c r="B34" s="27">
        <v>2026</v>
      </c>
      <c r="C34" s="27">
        <v>2</v>
      </c>
      <c r="D34" s="27" t="s">
        <v>1040</v>
      </c>
      <c r="E34" s="27" t="s">
        <v>1032</v>
      </c>
      <c r="F34" s="27" t="s">
        <v>1037</v>
      </c>
    </row>
    <row r="35" spans="1:6">
      <c r="A35" s="30">
        <v>46056</v>
      </c>
      <c r="B35" s="27">
        <v>2026</v>
      </c>
      <c r="C35" s="27">
        <v>2</v>
      </c>
      <c r="D35" s="27" t="s">
        <v>1040</v>
      </c>
      <c r="E35" s="27" t="s">
        <v>1032</v>
      </c>
      <c r="F35" s="27" t="s">
        <v>1038</v>
      </c>
    </row>
    <row r="36" spans="1:6">
      <c r="A36" s="30">
        <v>46057</v>
      </c>
      <c r="B36" s="27">
        <v>2026</v>
      </c>
      <c r="C36" s="27">
        <v>2</v>
      </c>
      <c r="D36" s="27" t="s">
        <v>1040</v>
      </c>
      <c r="E36" s="27" t="s">
        <v>1032</v>
      </c>
      <c r="F36" s="27" t="s">
        <v>1039</v>
      </c>
    </row>
    <row r="37" spans="1:6">
      <c r="A37" s="30">
        <v>46058</v>
      </c>
      <c r="B37" s="27">
        <v>2026</v>
      </c>
      <c r="C37" s="27">
        <v>2</v>
      </c>
      <c r="D37" s="27" t="s">
        <v>1040</v>
      </c>
      <c r="E37" s="27" t="s">
        <v>1032</v>
      </c>
      <c r="F37" s="27" t="s">
        <v>1033</v>
      </c>
    </row>
    <row r="38" spans="1:6">
      <c r="A38" s="30">
        <v>46059</v>
      </c>
      <c r="B38" s="27">
        <v>2026</v>
      </c>
      <c r="C38" s="27">
        <v>2</v>
      </c>
      <c r="D38" s="27" t="s">
        <v>1040</v>
      </c>
      <c r="E38" s="27" t="s">
        <v>1032</v>
      </c>
      <c r="F38" s="27" t="s">
        <v>1034</v>
      </c>
    </row>
    <row r="39" spans="1:6">
      <c r="A39" s="30">
        <v>46060</v>
      </c>
      <c r="B39" s="27">
        <v>2026</v>
      </c>
      <c r="C39" s="27">
        <v>2</v>
      </c>
      <c r="D39" s="27" t="s">
        <v>1040</v>
      </c>
      <c r="E39" s="27" t="s">
        <v>1032</v>
      </c>
      <c r="F39" s="27" t="s">
        <v>1035</v>
      </c>
    </row>
    <row r="40" spans="1:6">
      <c r="A40" s="30">
        <v>46061</v>
      </c>
      <c r="B40" s="27">
        <v>2026</v>
      </c>
      <c r="C40" s="27">
        <v>2</v>
      </c>
      <c r="D40" s="27" t="s">
        <v>1040</v>
      </c>
      <c r="E40" s="27" t="s">
        <v>1032</v>
      </c>
      <c r="F40" s="27" t="s">
        <v>1036</v>
      </c>
    </row>
    <row r="41" spans="1:6">
      <c r="A41" s="30">
        <v>46062</v>
      </c>
      <c r="B41" s="27">
        <v>2026</v>
      </c>
      <c r="C41" s="27">
        <v>2</v>
      </c>
      <c r="D41" s="27" t="s">
        <v>1040</v>
      </c>
      <c r="E41" s="27" t="s">
        <v>1032</v>
      </c>
      <c r="F41" s="27" t="s">
        <v>1037</v>
      </c>
    </row>
    <row r="42" spans="1:6">
      <c r="A42" s="30">
        <v>46063</v>
      </c>
      <c r="B42" s="27">
        <v>2026</v>
      </c>
      <c r="C42" s="27">
        <v>2</v>
      </c>
      <c r="D42" s="27" t="s">
        <v>1040</v>
      </c>
      <c r="E42" s="27" t="s">
        <v>1032</v>
      </c>
      <c r="F42" s="27" t="s">
        <v>1038</v>
      </c>
    </row>
    <row r="43" spans="1:6">
      <c r="A43" s="30">
        <v>46064</v>
      </c>
      <c r="B43" s="27">
        <v>2026</v>
      </c>
      <c r="C43" s="27">
        <v>2</v>
      </c>
      <c r="D43" s="27" t="s">
        <v>1040</v>
      </c>
      <c r="E43" s="27" t="s">
        <v>1032</v>
      </c>
      <c r="F43" s="27" t="s">
        <v>1039</v>
      </c>
    </row>
    <row r="44" spans="1:6">
      <c r="A44" s="30">
        <v>46065</v>
      </c>
      <c r="B44" s="27">
        <v>2026</v>
      </c>
      <c r="C44" s="27">
        <v>2</v>
      </c>
      <c r="D44" s="27" t="s">
        <v>1040</v>
      </c>
      <c r="E44" s="27" t="s">
        <v>1032</v>
      </c>
      <c r="F44" s="27" t="s">
        <v>1033</v>
      </c>
    </row>
    <row r="45" spans="1:6">
      <c r="A45" s="30">
        <v>46066</v>
      </c>
      <c r="B45" s="27">
        <v>2026</v>
      </c>
      <c r="C45" s="27">
        <v>2</v>
      </c>
      <c r="D45" s="27" t="s">
        <v>1040</v>
      </c>
      <c r="E45" s="27" t="s">
        <v>1032</v>
      </c>
      <c r="F45" s="27" t="s">
        <v>1034</v>
      </c>
    </row>
    <row r="46" spans="1:6">
      <c r="A46" s="30">
        <v>46067</v>
      </c>
      <c r="B46" s="27">
        <v>2026</v>
      </c>
      <c r="C46" s="27">
        <v>2</v>
      </c>
      <c r="D46" s="27" t="s">
        <v>1040</v>
      </c>
      <c r="E46" s="27" t="s">
        <v>1032</v>
      </c>
      <c r="F46" s="27" t="s">
        <v>1035</v>
      </c>
    </row>
    <row r="47" spans="1:6">
      <c r="A47" s="30">
        <v>46068</v>
      </c>
      <c r="B47" s="27">
        <v>2026</v>
      </c>
      <c r="C47" s="27">
        <v>2</v>
      </c>
      <c r="D47" s="27" t="s">
        <v>1040</v>
      </c>
      <c r="E47" s="27" t="s">
        <v>1032</v>
      </c>
      <c r="F47" s="27" t="s">
        <v>1036</v>
      </c>
    </row>
    <row r="48" spans="1:6">
      <c r="A48" s="30">
        <v>46069</v>
      </c>
      <c r="B48" s="27">
        <v>2026</v>
      </c>
      <c r="C48" s="27">
        <v>2</v>
      </c>
      <c r="D48" s="27" t="s">
        <v>1040</v>
      </c>
      <c r="E48" s="27" t="s">
        <v>1032</v>
      </c>
      <c r="F48" s="27" t="s">
        <v>1037</v>
      </c>
    </row>
    <row r="49" spans="1:6">
      <c r="A49" s="30">
        <v>46070</v>
      </c>
      <c r="B49" s="27">
        <v>2026</v>
      </c>
      <c r="C49" s="27">
        <v>2</v>
      </c>
      <c r="D49" s="27" t="s">
        <v>1040</v>
      </c>
      <c r="E49" s="27" t="s">
        <v>1032</v>
      </c>
      <c r="F49" s="27" t="s">
        <v>1038</v>
      </c>
    </row>
    <row r="50" spans="1:6">
      <c r="A50" s="30">
        <v>46071</v>
      </c>
      <c r="B50" s="27">
        <v>2026</v>
      </c>
      <c r="C50" s="27">
        <v>2</v>
      </c>
      <c r="D50" s="27" t="s">
        <v>1040</v>
      </c>
      <c r="E50" s="27" t="s">
        <v>1032</v>
      </c>
      <c r="F50" s="27" t="s">
        <v>1039</v>
      </c>
    </row>
    <row r="51" spans="1:6">
      <c r="A51" s="30">
        <v>46072</v>
      </c>
      <c r="B51" s="27">
        <v>2026</v>
      </c>
      <c r="C51" s="27">
        <v>2</v>
      </c>
      <c r="D51" s="27" t="s">
        <v>1040</v>
      </c>
      <c r="E51" s="27" t="s">
        <v>1032</v>
      </c>
      <c r="F51" s="27" t="s">
        <v>1033</v>
      </c>
    </row>
    <row r="52" spans="1:6">
      <c r="A52" s="30">
        <v>46073</v>
      </c>
      <c r="B52" s="27">
        <v>2026</v>
      </c>
      <c r="C52" s="27">
        <v>2</v>
      </c>
      <c r="D52" s="27" t="s">
        <v>1040</v>
      </c>
      <c r="E52" s="27" t="s">
        <v>1032</v>
      </c>
      <c r="F52" s="27" t="s">
        <v>1034</v>
      </c>
    </row>
    <row r="53" spans="1:6">
      <c r="A53" s="30">
        <v>46074</v>
      </c>
      <c r="B53" s="27">
        <v>2026</v>
      </c>
      <c r="C53" s="27">
        <v>2</v>
      </c>
      <c r="D53" s="27" t="s">
        <v>1040</v>
      </c>
      <c r="E53" s="27" t="s">
        <v>1032</v>
      </c>
      <c r="F53" s="27" t="s">
        <v>1035</v>
      </c>
    </row>
    <row r="54" spans="1:6">
      <c r="A54" s="30">
        <v>46075</v>
      </c>
      <c r="B54" s="27">
        <v>2026</v>
      </c>
      <c r="C54" s="27">
        <v>2</v>
      </c>
      <c r="D54" s="27" t="s">
        <v>1040</v>
      </c>
      <c r="E54" s="27" t="s">
        <v>1032</v>
      </c>
      <c r="F54" s="27" t="s">
        <v>1036</v>
      </c>
    </row>
    <row r="55" spans="1:6">
      <c r="A55" s="30">
        <v>46076</v>
      </c>
      <c r="B55" s="27">
        <v>2026</v>
      </c>
      <c r="C55" s="27">
        <v>2</v>
      </c>
      <c r="D55" s="27" t="s">
        <v>1040</v>
      </c>
      <c r="E55" s="27" t="s">
        <v>1032</v>
      </c>
      <c r="F55" s="27" t="s">
        <v>1037</v>
      </c>
    </row>
    <row r="56" spans="1:6">
      <c r="A56" s="30">
        <v>46077</v>
      </c>
      <c r="B56" s="27">
        <v>2026</v>
      </c>
      <c r="C56" s="27">
        <v>2</v>
      </c>
      <c r="D56" s="27" t="s">
        <v>1040</v>
      </c>
      <c r="E56" s="27" t="s">
        <v>1032</v>
      </c>
      <c r="F56" s="27" t="s">
        <v>1038</v>
      </c>
    </row>
    <row r="57" spans="1:6">
      <c r="A57" s="30">
        <v>46078</v>
      </c>
      <c r="B57" s="27">
        <v>2026</v>
      </c>
      <c r="C57" s="27">
        <v>2</v>
      </c>
      <c r="D57" s="27" t="s">
        <v>1040</v>
      </c>
      <c r="E57" s="27" t="s">
        <v>1032</v>
      </c>
      <c r="F57" s="27" t="s">
        <v>1039</v>
      </c>
    </row>
    <row r="58" spans="1:6">
      <c r="A58" s="30">
        <v>46079</v>
      </c>
      <c r="B58" s="27">
        <v>2026</v>
      </c>
      <c r="C58" s="27">
        <v>2</v>
      </c>
      <c r="D58" s="27" t="s">
        <v>1040</v>
      </c>
      <c r="E58" s="27" t="s">
        <v>1032</v>
      </c>
      <c r="F58" s="27" t="s">
        <v>1033</v>
      </c>
    </row>
    <row r="59" spans="1:6">
      <c r="A59" s="30">
        <v>46080</v>
      </c>
      <c r="B59" s="27">
        <v>2026</v>
      </c>
      <c r="C59" s="27">
        <v>2</v>
      </c>
      <c r="D59" s="27" t="s">
        <v>1040</v>
      </c>
      <c r="E59" s="27" t="s">
        <v>1032</v>
      </c>
      <c r="F59" s="27" t="s">
        <v>1034</v>
      </c>
    </row>
    <row r="60" spans="1:6">
      <c r="A60" s="30">
        <v>46081</v>
      </c>
      <c r="B60" s="27">
        <v>2026</v>
      </c>
      <c r="C60" s="27">
        <v>2</v>
      </c>
      <c r="D60" s="27" t="s">
        <v>1040</v>
      </c>
      <c r="E60" s="27" t="s">
        <v>1032</v>
      </c>
      <c r="F60" s="27" t="s">
        <v>1035</v>
      </c>
    </row>
    <row r="61" spans="1:6">
      <c r="A61" s="30">
        <v>46082</v>
      </c>
      <c r="B61" s="27">
        <v>2026</v>
      </c>
      <c r="C61" s="27">
        <v>3</v>
      </c>
      <c r="D61" s="27" t="s">
        <v>1041</v>
      </c>
      <c r="E61" s="27" t="s">
        <v>1032</v>
      </c>
      <c r="F61" s="27" t="s">
        <v>1036</v>
      </c>
    </row>
    <row r="62" spans="1:6">
      <c r="A62" s="30">
        <v>46083</v>
      </c>
      <c r="B62" s="27">
        <v>2026</v>
      </c>
      <c r="C62" s="27">
        <v>3</v>
      </c>
      <c r="D62" s="27" t="s">
        <v>1041</v>
      </c>
      <c r="E62" s="27" t="s">
        <v>1032</v>
      </c>
      <c r="F62" s="27" t="s">
        <v>1037</v>
      </c>
    </row>
    <row r="63" spans="1:6">
      <c r="A63" s="30">
        <v>46084</v>
      </c>
      <c r="B63" s="27">
        <v>2026</v>
      </c>
      <c r="C63" s="27">
        <v>3</v>
      </c>
      <c r="D63" s="27" t="s">
        <v>1041</v>
      </c>
      <c r="E63" s="27" t="s">
        <v>1032</v>
      </c>
      <c r="F63" s="27" t="s">
        <v>1038</v>
      </c>
    </row>
    <row r="64" spans="1:6">
      <c r="A64" s="30">
        <v>46085</v>
      </c>
      <c r="B64" s="27">
        <v>2026</v>
      </c>
      <c r="C64" s="27">
        <v>3</v>
      </c>
      <c r="D64" s="27" t="s">
        <v>1041</v>
      </c>
      <c r="E64" s="27" t="s">
        <v>1032</v>
      </c>
      <c r="F64" s="27" t="s">
        <v>1039</v>
      </c>
    </row>
    <row r="65" spans="1:6">
      <c r="A65" s="30">
        <v>46086</v>
      </c>
      <c r="B65" s="27">
        <v>2026</v>
      </c>
      <c r="C65" s="27">
        <v>3</v>
      </c>
      <c r="D65" s="27" t="s">
        <v>1041</v>
      </c>
      <c r="E65" s="27" t="s">
        <v>1032</v>
      </c>
      <c r="F65" s="27" t="s">
        <v>1033</v>
      </c>
    </row>
    <row r="66" spans="1:6">
      <c r="A66" s="30">
        <v>46087</v>
      </c>
      <c r="B66" s="27">
        <v>2026</v>
      </c>
      <c r="C66" s="27">
        <v>3</v>
      </c>
      <c r="D66" s="27" t="s">
        <v>1041</v>
      </c>
      <c r="E66" s="27" t="s">
        <v>1032</v>
      </c>
      <c r="F66" s="27" t="s">
        <v>1034</v>
      </c>
    </row>
    <row r="67" spans="1:6">
      <c r="A67" s="30">
        <v>46088</v>
      </c>
      <c r="B67" s="27">
        <v>2026</v>
      </c>
      <c r="C67" s="27">
        <v>3</v>
      </c>
      <c r="D67" s="27" t="s">
        <v>1041</v>
      </c>
      <c r="E67" s="27" t="s">
        <v>1032</v>
      </c>
      <c r="F67" s="27" t="s">
        <v>1035</v>
      </c>
    </row>
    <row r="68" spans="1:6">
      <c r="A68" s="30">
        <v>46089</v>
      </c>
      <c r="B68" s="27">
        <v>2026</v>
      </c>
      <c r="C68" s="27">
        <v>3</v>
      </c>
      <c r="D68" s="27" t="s">
        <v>1041</v>
      </c>
      <c r="E68" s="27" t="s">
        <v>1032</v>
      </c>
      <c r="F68" s="27" t="s">
        <v>1036</v>
      </c>
    </row>
    <row r="69" spans="1:6">
      <c r="A69" s="30">
        <v>46090</v>
      </c>
      <c r="B69" s="27">
        <v>2026</v>
      </c>
      <c r="C69" s="27">
        <v>3</v>
      </c>
      <c r="D69" s="27" t="s">
        <v>1041</v>
      </c>
      <c r="E69" s="27" t="s">
        <v>1032</v>
      </c>
      <c r="F69" s="27" t="s">
        <v>1037</v>
      </c>
    </row>
    <row r="70" spans="1:6">
      <c r="A70" s="30">
        <v>46091</v>
      </c>
      <c r="B70" s="27">
        <v>2026</v>
      </c>
      <c r="C70" s="27">
        <v>3</v>
      </c>
      <c r="D70" s="27" t="s">
        <v>1041</v>
      </c>
      <c r="E70" s="27" t="s">
        <v>1032</v>
      </c>
      <c r="F70" s="27" t="s">
        <v>1038</v>
      </c>
    </row>
    <row r="71" spans="1:6">
      <c r="A71" s="30">
        <v>46092</v>
      </c>
      <c r="B71" s="27">
        <v>2026</v>
      </c>
      <c r="C71" s="27">
        <v>3</v>
      </c>
      <c r="D71" s="27" t="s">
        <v>1041</v>
      </c>
      <c r="E71" s="27" t="s">
        <v>1032</v>
      </c>
      <c r="F71" s="27" t="s">
        <v>1039</v>
      </c>
    </row>
    <row r="72" spans="1:6">
      <c r="A72" s="30">
        <v>46093</v>
      </c>
      <c r="B72" s="27">
        <v>2026</v>
      </c>
      <c r="C72" s="27">
        <v>3</v>
      </c>
      <c r="D72" s="27" t="s">
        <v>1041</v>
      </c>
      <c r="E72" s="27" t="s">
        <v>1032</v>
      </c>
      <c r="F72" s="27" t="s">
        <v>1033</v>
      </c>
    </row>
    <row r="73" spans="1:6">
      <c r="A73" s="30">
        <v>46094</v>
      </c>
      <c r="B73" s="27">
        <v>2026</v>
      </c>
      <c r="C73" s="27">
        <v>3</v>
      </c>
      <c r="D73" s="27" t="s">
        <v>1041</v>
      </c>
      <c r="E73" s="27" t="s">
        <v>1032</v>
      </c>
      <c r="F73" s="27" t="s">
        <v>1034</v>
      </c>
    </row>
    <row r="74" spans="1:6">
      <c r="A74" s="30">
        <v>46095</v>
      </c>
      <c r="B74" s="27">
        <v>2026</v>
      </c>
      <c r="C74" s="27">
        <v>3</v>
      </c>
      <c r="D74" s="27" t="s">
        <v>1041</v>
      </c>
      <c r="E74" s="27" t="s">
        <v>1032</v>
      </c>
      <c r="F74" s="27" t="s">
        <v>1035</v>
      </c>
    </row>
    <row r="75" spans="1:6">
      <c r="A75" s="30">
        <v>46096</v>
      </c>
      <c r="B75" s="27">
        <v>2026</v>
      </c>
      <c r="C75" s="27">
        <v>3</v>
      </c>
      <c r="D75" s="27" t="s">
        <v>1041</v>
      </c>
      <c r="E75" s="27" t="s">
        <v>1032</v>
      </c>
      <c r="F75" s="27" t="s">
        <v>1036</v>
      </c>
    </row>
    <row r="76" spans="1:6">
      <c r="A76" s="30">
        <v>46097</v>
      </c>
      <c r="B76" s="27">
        <v>2026</v>
      </c>
      <c r="C76" s="27">
        <v>3</v>
      </c>
      <c r="D76" s="27" t="s">
        <v>1041</v>
      </c>
      <c r="E76" s="27" t="s">
        <v>1032</v>
      </c>
      <c r="F76" s="27" t="s">
        <v>1037</v>
      </c>
    </row>
    <row r="77" spans="1:6">
      <c r="A77" s="30">
        <v>46098</v>
      </c>
      <c r="B77" s="27">
        <v>2026</v>
      </c>
      <c r="C77" s="27">
        <v>3</v>
      </c>
      <c r="D77" s="27" t="s">
        <v>1041</v>
      </c>
      <c r="E77" s="27" t="s">
        <v>1032</v>
      </c>
      <c r="F77" s="27" t="s">
        <v>1038</v>
      </c>
    </row>
    <row r="78" spans="1:6">
      <c r="A78" s="30">
        <v>46099</v>
      </c>
      <c r="B78" s="27">
        <v>2026</v>
      </c>
      <c r="C78" s="27">
        <v>3</v>
      </c>
      <c r="D78" s="27" t="s">
        <v>1041</v>
      </c>
      <c r="E78" s="27" t="s">
        <v>1032</v>
      </c>
      <c r="F78" s="27" t="s">
        <v>1039</v>
      </c>
    </row>
    <row r="79" spans="1:6">
      <c r="A79" s="30">
        <v>46100</v>
      </c>
      <c r="B79" s="27">
        <v>2026</v>
      </c>
      <c r="C79" s="27">
        <v>3</v>
      </c>
      <c r="D79" s="27" t="s">
        <v>1041</v>
      </c>
      <c r="E79" s="27" t="s">
        <v>1032</v>
      </c>
      <c r="F79" s="27" t="s">
        <v>1033</v>
      </c>
    </row>
    <row r="80" spans="1:6">
      <c r="A80" s="30">
        <v>46101</v>
      </c>
      <c r="B80" s="27">
        <v>2026</v>
      </c>
      <c r="C80" s="27">
        <v>3</v>
      </c>
      <c r="D80" s="27" t="s">
        <v>1041</v>
      </c>
      <c r="E80" s="27" t="s">
        <v>1032</v>
      </c>
      <c r="F80" s="27" t="s">
        <v>1034</v>
      </c>
    </row>
    <row r="81" spans="1:6">
      <c r="A81" s="30">
        <v>46102</v>
      </c>
      <c r="B81" s="27">
        <v>2026</v>
      </c>
      <c r="C81" s="27">
        <v>3</v>
      </c>
      <c r="D81" s="27" t="s">
        <v>1041</v>
      </c>
      <c r="E81" s="27" t="s">
        <v>1032</v>
      </c>
      <c r="F81" s="27" t="s">
        <v>1035</v>
      </c>
    </row>
    <row r="82" spans="1:6">
      <c r="A82" s="30">
        <v>46103</v>
      </c>
      <c r="B82" s="27">
        <v>2026</v>
      </c>
      <c r="C82" s="27">
        <v>3</v>
      </c>
      <c r="D82" s="27" t="s">
        <v>1041</v>
      </c>
      <c r="E82" s="27" t="s">
        <v>1032</v>
      </c>
      <c r="F82" s="27" t="s">
        <v>1036</v>
      </c>
    </row>
    <row r="83" spans="1:6">
      <c r="A83" s="30">
        <v>46104</v>
      </c>
      <c r="B83" s="27">
        <v>2026</v>
      </c>
      <c r="C83" s="27">
        <v>3</v>
      </c>
      <c r="D83" s="27" t="s">
        <v>1041</v>
      </c>
      <c r="E83" s="27" t="s">
        <v>1032</v>
      </c>
      <c r="F83" s="27" t="s">
        <v>1037</v>
      </c>
    </row>
    <row r="84" spans="1:6">
      <c r="A84" s="30">
        <v>46105</v>
      </c>
      <c r="B84" s="27">
        <v>2026</v>
      </c>
      <c r="C84" s="27">
        <v>3</v>
      </c>
      <c r="D84" s="27" t="s">
        <v>1041</v>
      </c>
      <c r="E84" s="27" t="s">
        <v>1032</v>
      </c>
      <c r="F84" s="27" t="s">
        <v>1038</v>
      </c>
    </row>
    <row r="85" spans="1:6">
      <c r="A85" s="30">
        <v>46106</v>
      </c>
      <c r="B85" s="27">
        <v>2026</v>
      </c>
      <c r="C85" s="27">
        <v>3</v>
      </c>
      <c r="D85" s="27" t="s">
        <v>1041</v>
      </c>
      <c r="E85" s="27" t="s">
        <v>1032</v>
      </c>
      <c r="F85" s="27" t="s">
        <v>1039</v>
      </c>
    </row>
    <row r="86" spans="1:6">
      <c r="A86" s="30">
        <v>46107</v>
      </c>
      <c r="B86" s="27">
        <v>2026</v>
      </c>
      <c r="C86" s="27">
        <v>3</v>
      </c>
      <c r="D86" s="27" t="s">
        <v>1041</v>
      </c>
      <c r="E86" s="27" t="s">
        <v>1032</v>
      </c>
      <c r="F86" s="27" t="s">
        <v>1033</v>
      </c>
    </row>
    <row r="87" spans="1:6">
      <c r="A87" s="30">
        <v>46108</v>
      </c>
      <c r="B87" s="27">
        <v>2026</v>
      </c>
      <c r="C87" s="27">
        <v>3</v>
      </c>
      <c r="D87" s="27" t="s">
        <v>1041</v>
      </c>
      <c r="E87" s="27" t="s">
        <v>1032</v>
      </c>
      <c r="F87" s="27" t="s">
        <v>1034</v>
      </c>
    </row>
    <row r="88" spans="1:6">
      <c r="A88" s="30">
        <v>46109</v>
      </c>
      <c r="B88" s="27">
        <v>2026</v>
      </c>
      <c r="C88" s="27">
        <v>3</v>
      </c>
      <c r="D88" s="27" t="s">
        <v>1041</v>
      </c>
      <c r="E88" s="27" t="s">
        <v>1032</v>
      </c>
      <c r="F88" s="27" t="s">
        <v>1035</v>
      </c>
    </row>
    <row r="89" spans="1:6">
      <c r="A89" s="30">
        <v>46110</v>
      </c>
      <c r="B89" s="27">
        <v>2026</v>
      </c>
      <c r="C89" s="27">
        <v>3</v>
      </c>
      <c r="D89" s="27" t="s">
        <v>1041</v>
      </c>
      <c r="E89" s="27" t="s">
        <v>1032</v>
      </c>
      <c r="F89" s="27" t="s">
        <v>1036</v>
      </c>
    </row>
    <row r="90" spans="1:6">
      <c r="A90" s="30">
        <v>46111</v>
      </c>
      <c r="B90" s="27">
        <v>2026</v>
      </c>
      <c r="C90" s="27">
        <v>3</v>
      </c>
      <c r="D90" s="27" t="s">
        <v>1041</v>
      </c>
      <c r="E90" s="27" t="s">
        <v>1032</v>
      </c>
      <c r="F90" s="27" t="s">
        <v>1037</v>
      </c>
    </row>
    <row r="91" spans="1:6">
      <c r="A91" s="30">
        <v>46112</v>
      </c>
      <c r="B91" s="27">
        <v>2026</v>
      </c>
      <c r="C91" s="27">
        <v>3</v>
      </c>
      <c r="D91" s="27" t="s">
        <v>1041</v>
      </c>
      <c r="E91" s="27" t="s">
        <v>1032</v>
      </c>
      <c r="F91" s="27" t="s">
        <v>1038</v>
      </c>
    </row>
    <row r="92" spans="1:6">
      <c r="A92" s="30">
        <v>46113</v>
      </c>
      <c r="B92" s="27">
        <v>2026</v>
      </c>
      <c r="C92" s="27">
        <v>4</v>
      </c>
      <c r="D92" s="27" t="s">
        <v>1042</v>
      </c>
      <c r="E92" s="27" t="s">
        <v>1043</v>
      </c>
      <c r="F92" s="27" t="s">
        <v>1039</v>
      </c>
    </row>
    <row r="93" spans="1:6">
      <c r="A93" s="30">
        <v>46114</v>
      </c>
      <c r="B93" s="27">
        <v>2026</v>
      </c>
      <c r="C93" s="27">
        <v>4</v>
      </c>
      <c r="D93" s="27" t="s">
        <v>1042</v>
      </c>
      <c r="E93" s="27" t="s">
        <v>1043</v>
      </c>
      <c r="F93" s="27" t="s">
        <v>1033</v>
      </c>
    </row>
    <row r="94" spans="1:6">
      <c r="A94" s="30">
        <v>46115</v>
      </c>
      <c r="B94" s="27">
        <v>2026</v>
      </c>
      <c r="C94" s="27">
        <v>4</v>
      </c>
      <c r="D94" s="27" t="s">
        <v>1042</v>
      </c>
      <c r="E94" s="27" t="s">
        <v>1043</v>
      </c>
      <c r="F94" s="27" t="s">
        <v>1034</v>
      </c>
    </row>
    <row r="95" spans="1:6">
      <c r="A95" s="30">
        <v>46116</v>
      </c>
      <c r="B95" s="27">
        <v>2026</v>
      </c>
      <c r="C95" s="27">
        <v>4</v>
      </c>
      <c r="D95" s="27" t="s">
        <v>1042</v>
      </c>
      <c r="E95" s="27" t="s">
        <v>1043</v>
      </c>
      <c r="F95" s="27" t="s">
        <v>1035</v>
      </c>
    </row>
    <row r="96" spans="1:6">
      <c r="A96" s="30">
        <v>46117</v>
      </c>
      <c r="B96" s="27">
        <v>2026</v>
      </c>
      <c r="C96" s="27">
        <v>4</v>
      </c>
      <c r="D96" s="27" t="s">
        <v>1042</v>
      </c>
      <c r="E96" s="27" t="s">
        <v>1043</v>
      </c>
      <c r="F96" s="27" t="s">
        <v>1036</v>
      </c>
    </row>
    <row r="97" spans="1:6">
      <c r="A97" s="30">
        <v>46118</v>
      </c>
      <c r="B97" s="27">
        <v>2026</v>
      </c>
      <c r="C97" s="27">
        <v>4</v>
      </c>
      <c r="D97" s="27" t="s">
        <v>1042</v>
      </c>
      <c r="E97" s="27" t="s">
        <v>1043</v>
      </c>
      <c r="F97" s="27" t="s">
        <v>1037</v>
      </c>
    </row>
    <row r="98" spans="1:6">
      <c r="A98" s="30">
        <v>46119</v>
      </c>
      <c r="B98" s="27">
        <v>2026</v>
      </c>
      <c r="C98" s="27">
        <v>4</v>
      </c>
      <c r="D98" s="27" t="s">
        <v>1042</v>
      </c>
      <c r="E98" s="27" t="s">
        <v>1043</v>
      </c>
      <c r="F98" s="27" t="s">
        <v>1038</v>
      </c>
    </row>
    <row r="99" spans="1:6">
      <c r="A99" s="30">
        <v>46120</v>
      </c>
      <c r="B99" s="27">
        <v>2026</v>
      </c>
      <c r="C99" s="27">
        <v>4</v>
      </c>
      <c r="D99" s="27" t="s">
        <v>1042</v>
      </c>
      <c r="E99" s="27" t="s">
        <v>1043</v>
      </c>
      <c r="F99" s="27" t="s">
        <v>1039</v>
      </c>
    </row>
    <row r="100" spans="1:6">
      <c r="A100" s="30">
        <v>46121</v>
      </c>
      <c r="B100" s="27">
        <v>2026</v>
      </c>
      <c r="C100" s="27">
        <v>4</v>
      </c>
      <c r="D100" s="27" t="s">
        <v>1042</v>
      </c>
      <c r="E100" s="27" t="s">
        <v>1043</v>
      </c>
      <c r="F100" s="27" t="s">
        <v>1033</v>
      </c>
    </row>
    <row r="101" spans="1:6">
      <c r="A101" s="30">
        <v>46122</v>
      </c>
      <c r="B101" s="27">
        <v>2026</v>
      </c>
      <c r="C101" s="27">
        <v>4</v>
      </c>
      <c r="D101" s="27" t="s">
        <v>1042</v>
      </c>
      <c r="E101" s="27" t="s">
        <v>1043</v>
      </c>
      <c r="F101" s="27" t="s">
        <v>1034</v>
      </c>
    </row>
    <row r="102" spans="1:6">
      <c r="A102" s="30">
        <v>46123</v>
      </c>
      <c r="B102" s="27">
        <v>2026</v>
      </c>
      <c r="C102" s="27">
        <v>4</v>
      </c>
      <c r="D102" s="27" t="s">
        <v>1042</v>
      </c>
      <c r="E102" s="27" t="s">
        <v>1043</v>
      </c>
      <c r="F102" s="27" t="s">
        <v>1035</v>
      </c>
    </row>
    <row r="103" spans="1:6">
      <c r="A103" s="30">
        <v>46124</v>
      </c>
      <c r="B103" s="27">
        <v>2026</v>
      </c>
      <c r="C103" s="27">
        <v>4</v>
      </c>
      <c r="D103" s="27" t="s">
        <v>1042</v>
      </c>
      <c r="E103" s="27" t="s">
        <v>1043</v>
      </c>
      <c r="F103" s="27" t="s">
        <v>1036</v>
      </c>
    </row>
    <row r="104" spans="1:6">
      <c r="A104" s="30">
        <v>46125</v>
      </c>
      <c r="B104" s="27">
        <v>2026</v>
      </c>
      <c r="C104" s="27">
        <v>4</v>
      </c>
      <c r="D104" s="27" t="s">
        <v>1042</v>
      </c>
      <c r="E104" s="27" t="s">
        <v>1043</v>
      </c>
      <c r="F104" s="27" t="s">
        <v>1037</v>
      </c>
    </row>
    <row r="105" spans="1:6">
      <c r="A105" s="30">
        <v>46126</v>
      </c>
      <c r="B105" s="27">
        <v>2026</v>
      </c>
      <c r="C105" s="27">
        <v>4</v>
      </c>
      <c r="D105" s="27" t="s">
        <v>1042</v>
      </c>
      <c r="E105" s="27" t="s">
        <v>1043</v>
      </c>
      <c r="F105" s="27" t="s">
        <v>1038</v>
      </c>
    </row>
    <row r="106" spans="1:6">
      <c r="A106" s="30">
        <v>46127</v>
      </c>
      <c r="B106" s="27">
        <v>2026</v>
      </c>
      <c r="C106" s="27">
        <v>4</v>
      </c>
      <c r="D106" s="27" t="s">
        <v>1042</v>
      </c>
      <c r="E106" s="27" t="s">
        <v>1043</v>
      </c>
      <c r="F106" s="27" t="s">
        <v>1039</v>
      </c>
    </row>
    <row r="107" spans="1:6">
      <c r="A107" s="30">
        <v>46128</v>
      </c>
      <c r="B107" s="27">
        <v>2026</v>
      </c>
      <c r="C107" s="27">
        <v>4</v>
      </c>
      <c r="D107" s="27" t="s">
        <v>1042</v>
      </c>
      <c r="E107" s="27" t="s">
        <v>1043</v>
      </c>
      <c r="F107" s="27" t="s">
        <v>1033</v>
      </c>
    </row>
    <row r="108" spans="1:6">
      <c r="A108" s="30">
        <v>46129</v>
      </c>
      <c r="B108" s="27">
        <v>2026</v>
      </c>
      <c r="C108" s="27">
        <v>4</v>
      </c>
      <c r="D108" s="27" t="s">
        <v>1042</v>
      </c>
      <c r="E108" s="27" t="s">
        <v>1043</v>
      </c>
      <c r="F108" s="27" t="s">
        <v>1034</v>
      </c>
    </row>
    <row r="109" spans="1:6">
      <c r="A109" s="30">
        <v>46130</v>
      </c>
      <c r="B109" s="27">
        <v>2026</v>
      </c>
      <c r="C109" s="27">
        <v>4</v>
      </c>
      <c r="D109" s="27" t="s">
        <v>1042</v>
      </c>
      <c r="E109" s="27" t="s">
        <v>1043</v>
      </c>
      <c r="F109" s="27" t="s">
        <v>1035</v>
      </c>
    </row>
    <row r="110" spans="1:6">
      <c r="A110" s="30">
        <v>46131</v>
      </c>
      <c r="B110" s="27">
        <v>2026</v>
      </c>
      <c r="C110" s="27">
        <v>4</v>
      </c>
      <c r="D110" s="27" t="s">
        <v>1042</v>
      </c>
      <c r="E110" s="27" t="s">
        <v>1043</v>
      </c>
      <c r="F110" s="27" t="s">
        <v>1036</v>
      </c>
    </row>
    <row r="111" spans="1:6">
      <c r="A111" s="30">
        <v>46132</v>
      </c>
      <c r="B111" s="27">
        <v>2026</v>
      </c>
      <c r="C111" s="27">
        <v>4</v>
      </c>
      <c r="D111" s="27" t="s">
        <v>1042</v>
      </c>
      <c r="E111" s="27" t="s">
        <v>1043</v>
      </c>
      <c r="F111" s="27" t="s">
        <v>1037</v>
      </c>
    </row>
    <row r="112" spans="1:6">
      <c r="A112" s="30">
        <v>46133</v>
      </c>
      <c r="B112" s="27">
        <v>2026</v>
      </c>
      <c r="C112" s="27">
        <v>4</v>
      </c>
      <c r="D112" s="27" t="s">
        <v>1042</v>
      </c>
      <c r="E112" s="27" t="s">
        <v>1043</v>
      </c>
      <c r="F112" s="27" t="s">
        <v>1038</v>
      </c>
    </row>
    <row r="113" spans="1:6">
      <c r="A113" s="30">
        <v>46134</v>
      </c>
      <c r="B113" s="27">
        <v>2026</v>
      </c>
      <c r="C113" s="27">
        <v>4</v>
      </c>
      <c r="D113" s="27" t="s">
        <v>1042</v>
      </c>
      <c r="E113" s="27" t="s">
        <v>1043</v>
      </c>
      <c r="F113" s="27" t="s">
        <v>1039</v>
      </c>
    </row>
    <row r="114" spans="1:6">
      <c r="A114" s="30">
        <v>46135</v>
      </c>
      <c r="B114" s="27">
        <v>2026</v>
      </c>
      <c r="C114" s="27">
        <v>4</v>
      </c>
      <c r="D114" s="27" t="s">
        <v>1042</v>
      </c>
      <c r="E114" s="27" t="s">
        <v>1043</v>
      </c>
      <c r="F114" s="27" t="s">
        <v>1033</v>
      </c>
    </row>
    <row r="115" spans="1:6">
      <c r="A115" s="30">
        <v>46136</v>
      </c>
      <c r="B115" s="27">
        <v>2026</v>
      </c>
      <c r="C115" s="27">
        <v>4</v>
      </c>
      <c r="D115" s="27" t="s">
        <v>1042</v>
      </c>
      <c r="E115" s="27" t="s">
        <v>1043</v>
      </c>
      <c r="F115" s="27" t="s">
        <v>1034</v>
      </c>
    </row>
    <row r="116" spans="1:6">
      <c r="A116" s="30">
        <v>46137</v>
      </c>
      <c r="B116" s="27">
        <v>2026</v>
      </c>
      <c r="C116" s="27">
        <v>4</v>
      </c>
      <c r="D116" s="27" t="s">
        <v>1042</v>
      </c>
      <c r="E116" s="27" t="s">
        <v>1043</v>
      </c>
      <c r="F116" s="27" t="s">
        <v>1035</v>
      </c>
    </row>
    <row r="117" spans="1:6">
      <c r="A117" s="30">
        <v>46138</v>
      </c>
      <c r="B117" s="27">
        <v>2026</v>
      </c>
      <c r="C117" s="27">
        <v>4</v>
      </c>
      <c r="D117" s="27" t="s">
        <v>1042</v>
      </c>
      <c r="E117" s="27" t="s">
        <v>1043</v>
      </c>
      <c r="F117" s="27" t="s">
        <v>1036</v>
      </c>
    </row>
    <row r="118" spans="1:6">
      <c r="A118" s="30">
        <v>46139</v>
      </c>
      <c r="B118" s="27">
        <v>2026</v>
      </c>
      <c r="C118" s="27">
        <v>4</v>
      </c>
      <c r="D118" s="27" t="s">
        <v>1042</v>
      </c>
      <c r="E118" s="27" t="s">
        <v>1043</v>
      </c>
      <c r="F118" s="27" t="s">
        <v>1037</v>
      </c>
    </row>
    <row r="119" spans="1:6">
      <c r="A119" s="30">
        <v>46140</v>
      </c>
      <c r="B119" s="27">
        <v>2026</v>
      </c>
      <c r="C119" s="27">
        <v>4</v>
      </c>
      <c r="D119" s="27" t="s">
        <v>1042</v>
      </c>
      <c r="E119" s="27" t="s">
        <v>1043</v>
      </c>
      <c r="F119" s="27" t="s">
        <v>1038</v>
      </c>
    </row>
    <row r="120" spans="1:6">
      <c r="A120" s="30">
        <v>46141</v>
      </c>
      <c r="B120" s="27">
        <v>2026</v>
      </c>
      <c r="C120" s="27">
        <v>4</v>
      </c>
      <c r="D120" s="27" t="s">
        <v>1042</v>
      </c>
      <c r="E120" s="27" t="s">
        <v>1043</v>
      </c>
      <c r="F120" s="27" t="s">
        <v>1039</v>
      </c>
    </row>
    <row r="121" spans="1:6">
      <c r="A121" s="30">
        <v>46142</v>
      </c>
      <c r="B121" s="27">
        <v>2026</v>
      </c>
      <c r="C121" s="27">
        <v>4</v>
      </c>
      <c r="D121" s="27" t="s">
        <v>1042</v>
      </c>
      <c r="E121" s="27" t="s">
        <v>1043</v>
      </c>
      <c r="F121" s="27" t="s">
        <v>1033</v>
      </c>
    </row>
    <row r="122" spans="1:6">
      <c r="A122" s="30">
        <v>46143</v>
      </c>
      <c r="B122" s="27">
        <v>2026</v>
      </c>
      <c r="C122" s="27">
        <v>5</v>
      </c>
      <c r="D122" s="27" t="s">
        <v>1044</v>
      </c>
      <c r="E122" s="27" t="s">
        <v>1043</v>
      </c>
      <c r="F122" s="27" t="s">
        <v>1034</v>
      </c>
    </row>
    <row r="123" spans="1:6">
      <c r="A123" s="30">
        <v>46144</v>
      </c>
      <c r="B123" s="27">
        <v>2026</v>
      </c>
      <c r="C123" s="27">
        <v>5</v>
      </c>
      <c r="D123" s="27" t="s">
        <v>1044</v>
      </c>
      <c r="E123" s="27" t="s">
        <v>1043</v>
      </c>
      <c r="F123" s="27" t="s">
        <v>1035</v>
      </c>
    </row>
    <row r="124" spans="1:6">
      <c r="A124" s="30">
        <v>46145</v>
      </c>
      <c r="B124" s="27">
        <v>2026</v>
      </c>
      <c r="C124" s="27">
        <v>5</v>
      </c>
      <c r="D124" s="27" t="s">
        <v>1044</v>
      </c>
      <c r="E124" s="27" t="s">
        <v>1043</v>
      </c>
      <c r="F124" s="27" t="s">
        <v>1036</v>
      </c>
    </row>
    <row r="125" spans="1:6">
      <c r="A125" s="30">
        <v>46146</v>
      </c>
      <c r="B125" s="27">
        <v>2026</v>
      </c>
      <c r="C125" s="27">
        <v>5</v>
      </c>
      <c r="D125" s="27" t="s">
        <v>1044</v>
      </c>
      <c r="E125" s="27" t="s">
        <v>1043</v>
      </c>
      <c r="F125" s="27" t="s">
        <v>1037</v>
      </c>
    </row>
    <row r="126" spans="1:6">
      <c r="A126" s="30">
        <v>46147</v>
      </c>
      <c r="B126" s="27">
        <v>2026</v>
      </c>
      <c r="C126" s="27">
        <v>5</v>
      </c>
      <c r="D126" s="27" t="s">
        <v>1044</v>
      </c>
      <c r="E126" s="27" t="s">
        <v>1043</v>
      </c>
      <c r="F126" s="27" t="s">
        <v>1038</v>
      </c>
    </row>
    <row r="127" spans="1:6">
      <c r="A127" s="30">
        <v>46148</v>
      </c>
      <c r="B127" s="27">
        <v>2026</v>
      </c>
      <c r="C127" s="27">
        <v>5</v>
      </c>
      <c r="D127" s="27" t="s">
        <v>1044</v>
      </c>
      <c r="E127" s="27" t="s">
        <v>1043</v>
      </c>
      <c r="F127" s="27" t="s">
        <v>1039</v>
      </c>
    </row>
    <row r="128" spans="1:6">
      <c r="A128" s="30">
        <v>46149</v>
      </c>
      <c r="B128" s="27">
        <v>2026</v>
      </c>
      <c r="C128" s="27">
        <v>5</v>
      </c>
      <c r="D128" s="27" t="s">
        <v>1044</v>
      </c>
      <c r="E128" s="27" t="s">
        <v>1043</v>
      </c>
      <c r="F128" s="27" t="s">
        <v>1033</v>
      </c>
    </row>
    <row r="129" spans="1:6">
      <c r="A129" s="30">
        <v>46150</v>
      </c>
      <c r="B129" s="27">
        <v>2026</v>
      </c>
      <c r="C129" s="27">
        <v>5</v>
      </c>
      <c r="D129" s="27" t="s">
        <v>1044</v>
      </c>
      <c r="E129" s="27" t="s">
        <v>1043</v>
      </c>
      <c r="F129" s="27" t="s">
        <v>1034</v>
      </c>
    </row>
    <row r="130" spans="1:6">
      <c r="A130" s="30">
        <v>46151</v>
      </c>
      <c r="B130" s="27">
        <v>2026</v>
      </c>
      <c r="C130" s="27">
        <v>5</v>
      </c>
      <c r="D130" s="27" t="s">
        <v>1044</v>
      </c>
      <c r="E130" s="27" t="s">
        <v>1043</v>
      </c>
      <c r="F130" s="27" t="s">
        <v>1035</v>
      </c>
    </row>
    <row r="131" spans="1:6">
      <c r="A131" s="30">
        <v>46152</v>
      </c>
      <c r="B131" s="27">
        <v>2026</v>
      </c>
      <c r="C131" s="27">
        <v>5</v>
      </c>
      <c r="D131" s="27" t="s">
        <v>1044</v>
      </c>
      <c r="E131" s="27" t="s">
        <v>1043</v>
      </c>
      <c r="F131" s="27" t="s">
        <v>1036</v>
      </c>
    </row>
    <row r="132" spans="1:6">
      <c r="A132" s="30">
        <v>46153</v>
      </c>
      <c r="B132" s="27">
        <v>2026</v>
      </c>
      <c r="C132" s="27">
        <v>5</v>
      </c>
      <c r="D132" s="27" t="s">
        <v>1044</v>
      </c>
      <c r="E132" s="27" t="s">
        <v>1043</v>
      </c>
      <c r="F132" s="27" t="s">
        <v>1037</v>
      </c>
    </row>
    <row r="133" spans="1:6">
      <c r="A133" s="30">
        <v>46154</v>
      </c>
      <c r="B133" s="27">
        <v>2026</v>
      </c>
      <c r="C133" s="27">
        <v>5</v>
      </c>
      <c r="D133" s="27" t="s">
        <v>1044</v>
      </c>
      <c r="E133" s="27" t="s">
        <v>1043</v>
      </c>
      <c r="F133" s="27" t="s">
        <v>1038</v>
      </c>
    </row>
    <row r="134" spans="1:6">
      <c r="A134" s="30">
        <v>46155</v>
      </c>
      <c r="B134" s="27">
        <v>2026</v>
      </c>
      <c r="C134" s="27">
        <v>5</v>
      </c>
      <c r="D134" s="27" t="s">
        <v>1044</v>
      </c>
      <c r="E134" s="27" t="s">
        <v>1043</v>
      </c>
      <c r="F134" s="27" t="s">
        <v>1039</v>
      </c>
    </row>
    <row r="135" spans="1:6">
      <c r="A135" s="30">
        <v>46156</v>
      </c>
      <c r="B135" s="27">
        <v>2026</v>
      </c>
      <c r="C135" s="27">
        <v>5</v>
      </c>
      <c r="D135" s="27" t="s">
        <v>1044</v>
      </c>
      <c r="E135" s="27" t="s">
        <v>1043</v>
      </c>
      <c r="F135" s="27" t="s">
        <v>1033</v>
      </c>
    </row>
    <row r="136" spans="1:6">
      <c r="A136" s="30">
        <v>46157</v>
      </c>
      <c r="B136" s="27">
        <v>2026</v>
      </c>
      <c r="C136" s="27">
        <v>5</v>
      </c>
      <c r="D136" s="27" t="s">
        <v>1044</v>
      </c>
      <c r="E136" s="27" t="s">
        <v>1043</v>
      </c>
      <c r="F136" s="27" t="s">
        <v>1034</v>
      </c>
    </row>
    <row r="137" spans="1:6">
      <c r="A137" s="30">
        <v>46158</v>
      </c>
      <c r="B137" s="27">
        <v>2026</v>
      </c>
      <c r="C137" s="27">
        <v>5</v>
      </c>
      <c r="D137" s="27" t="s">
        <v>1044</v>
      </c>
      <c r="E137" s="27" t="s">
        <v>1043</v>
      </c>
      <c r="F137" s="27" t="s">
        <v>1035</v>
      </c>
    </row>
    <row r="138" spans="1:6">
      <c r="A138" s="30">
        <v>46159</v>
      </c>
      <c r="B138" s="27">
        <v>2026</v>
      </c>
      <c r="C138" s="27">
        <v>5</v>
      </c>
      <c r="D138" s="27" t="s">
        <v>1044</v>
      </c>
      <c r="E138" s="27" t="s">
        <v>1043</v>
      </c>
      <c r="F138" s="27" t="s">
        <v>1036</v>
      </c>
    </row>
    <row r="139" spans="1:6">
      <c r="A139" s="30">
        <v>46160</v>
      </c>
      <c r="B139" s="27">
        <v>2026</v>
      </c>
      <c r="C139" s="27">
        <v>5</v>
      </c>
      <c r="D139" s="27" t="s">
        <v>1044</v>
      </c>
      <c r="E139" s="27" t="s">
        <v>1043</v>
      </c>
      <c r="F139" s="27" t="s">
        <v>1037</v>
      </c>
    </row>
    <row r="140" spans="1:6">
      <c r="A140" s="30">
        <v>46161</v>
      </c>
      <c r="B140" s="27">
        <v>2026</v>
      </c>
      <c r="C140" s="27">
        <v>5</v>
      </c>
      <c r="D140" s="27" t="s">
        <v>1044</v>
      </c>
      <c r="E140" s="27" t="s">
        <v>1043</v>
      </c>
      <c r="F140" s="27" t="s">
        <v>1038</v>
      </c>
    </row>
    <row r="141" spans="1:6">
      <c r="A141" s="30">
        <v>46162</v>
      </c>
      <c r="B141" s="27">
        <v>2026</v>
      </c>
      <c r="C141" s="27">
        <v>5</v>
      </c>
      <c r="D141" s="27" t="s">
        <v>1044</v>
      </c>
      <c r="E141" s="27" t="s">
        <v>1043</v>
      </c>
      <c r="F141" s="27" t="s">
        <v>1039</v>
      </c>
    </row>
    <row r="142" spans="1:6">
      <c r="A142" s="30">
        <v>46163</v>
      </c>
      <c r="B142" s="27">
        <v>2026</v>
      </c>
      <c r="C142" s="27">
        <v>5</v>
      </c>
      <c r="D142" s="27" t="s">
        <v>1044</v>
      </c>
      <c r="E142" s="27" t="s">
        <v>1043</v>
      </c>
      <c r="F142" s="27" t="s">
        <v>1033</v>
      </c>
    </row>
    <row r="143" spans="1:6">
      <c r="A143" s="30">
        <v>46164</v>
      </c>
      <c r="B143" s="27">
        <v>2026</v>
      </c>
      <c r="C143" s="27">
        <v>5</v>
      </c>
      <c r="D143" s="27" t="s">
        <v>1044</v>
      </c>
      <c r="E143" s="27" t="s">
        <v>1043</v>
      </c>
      <c r="F143" s="27" t="s">
        <v>1034</v>
      </c>
    </row>
    <row r="144" spans="1:6">
      <c r="A144" s="30">
        <v>46165</v>
      </c>
      <c r="B144" s="27">
        <v>2026</v>
      </c>
      <c r="C144" s="27">
        <v>5</v>
      </c>
      <c r="D144" s="27" t="s">
        <v>1044</v>
      </c>
      <c r="E144" s="27" t="s">
        <v>1043</v>
      </c>
      <c r="F144" s="27" t="s">
        <v>1035</v>
      </c>
    </row>
    <row r="145" spans="1:6">
      <c r="A145" s="30">
        <v>46166</v>
      </c>
      <c r="B145" s="27">
        <v>2026</v>
      </c>
      <c r="C145" s="27">
        <v>5</v>
      </c>
      <c r="D145" s="27" t="s">
        <v>1044</v>
      </c>
      <c r="E145" s="27" t="s">
        <v>1043</v>
      </c>
      <c r="F145" s="27" t="s">
        <v>1036</v>
      </c>
    </row>
    <row r="146" spans="1:6">
      <c r="A146" s="30">
        <v>46167</v>
      </c>
      <c r="B146" s="27">
        <v>2026</v>
      </c>
      <c r="C146" s="27">
        <v>5</v>
      </c>
      <c r="D146" s="27" t="s">
        <v>1044</v>
      </c>
      <c r="E146" s="27" t="s">
        <v>1043</v>
      </c>
      <c r="F146" s="27" t="s">
        <v>1037</v>
      </c>
    </row>
    <row r="147" spans="1:6">
      <c r="A147" s="30">
        <v>46168</v>
      </c>
      <c r="B147" s="27">
        <v>2026</v>
      </c>
      <c r="C147" s="27">
        <v>5</v>
      </c>
      <c r="D147" s="27" t="s">
        <v>1044</v>
      </c>
      <c r="E147" s="27" t="s">
        <v>1043</v>
      </c>
      <c r="F147" s="27" t="s">
        <v>1038</v>
      </c>
    </row>
    <row r="148" spans="1:6">
      <c r="A148" s="30">
        <v>46169</v>
      </c>
      <c r="B148" s="27">
        <v>2026</v>
      </c>
      <c r="C148" s="27">
        <v>5</v>
      </c>
      <c r="D148" s="27" t="s">
        <v>1044</v>
      </c>
      <c r="E148" s="27" t="s">
        <v>1043</v>
      </c>
      <c r="F148" s="27" t="s">
        <v>1039</v>
      </c>
    </row>
    <row r="149" spans="1:6">
      <c r="A149" s="30">
        <v>46170</v>
      </c>
      <c r="B149" s="27">
        <v>2026</v>
      </c>
      <c r="C149" s="27">
        <v>5</v>
      </c>
      <c r="D149" s="27" t="s">
        <v>1044</v>
      </c>
      <c r="E149" s="27" t="s">
        <v>1043</v>
      </c>
      <c r="F149" s="27" t="s">
        <v>1033</v>
      </c>
    </row>
    <row r="150" spans="1:6">
      <c r="A150" s="30">
        <v>46171</v>
      </c>
      <c r="B150" s="27">
        <v>2026</v>
      </c>
      <c r="C150" s="27">
        <v>5</v>
      </c>
      <c r="D150" s="27" t="s">
        <v>1044</v>
      </c>
      <c r="E150" s="27" t="s">
        <v>1043</v>
      </c>
      <c r="F150" s="27" t="s">
        <v>1034</v>
      </c>
    </row>
    <row r="151" spans="1:6">
      <c r="A151" s="30">
        <v>46172</v>
      </c>
      <c r="B151" s="27">
        <v>2026</v>
      </c>
      <c r="C151" s="27">
        <v>5</v>
      </c>
      <c r="D151" s="27" t="s">
        <v>1044</v>
      </c>
      <c r="E151" s="27" t="s">
        <v>1043</v>
      </c>
      <c r="F151" s="27" t="s">
        <v>1035</v>
      </c>
    </row>
    <row r="152" spans="1:6">
      <c r="A152" s="30">
        <v>46173</v>
      </c>
      <c r="B152" s="27">
        <v>2026</v>
      </c>
      <c r="C152" s="27">
        <v>5</v>
      </c>
      <c r="D152" s="27" t="s">
        <v>1044</v>
      </c>
      <c r="E152" s="27" t="s">
        <v>1043</v>
      </c>
      <c r="F152" s="27" t="s">
        <v>1036</v>
      </c>
    </row>
    <row r="153" spans="1:6">
      <c r="A153" s="30">
        <v>46174</v>
      </c>
      <c r="B153" s="27">
        <v>2026</v>
      </c>
      <c r="C153" s="27">
        <v>6</v>
      </c>
      <c r="D153" s="27" t="s">
        <v>1045</v>
      </c>
      <c r="E153" s="27" t="s">
        <v>1043</v>
      </c>
      <c r="F153" s="27" t="s">
        <v>1037</v>
      </c>
    </row>
    <row r="154" spans="1:6">
      <c r="A154" s="30">
        <v>46175</v>
      </c>
      <c r="B154" s="27">
        <v>2026</v>
      </c>
      <c r="C154" s="27">
        <v>6</v>
      </c>
      <c r="D154" s="27" t="s">
        <v>1045</v>
      </c>
      <c r="E154" s="27" t="s">
        <v>1043</v>
      </c>
      <c r="F154" s="27" t="s">
        <v>1038</v>
      </c>
    </row>
    <row r="155" spans="1:6">
      <c r="A155" s="30">
        <v>46176</v>
      </c>
      <c r="B155" s="27">
        <v>2026</v>
      </c>
      <c r="C155" s="27">
        <v>6</v>
      </c>
      <c r="D155" s="27" t="s">
        <v>1045</v>
      </c>
      <c r="E155" s="27" t="s">
        <v>1043</v>
      </c>
      <c r="F155" s="27" t="s">
        <v>1039</v>
      </c>
    </row>
    <row r="156" spans="1:6">
      <c r="A156" s="30">
        <v>46177</v>
      </c>
      <c r="B156" s="27">
        <v>2026</v>
      </c>
      <c r="C156" s="27">
        <v>6</v>
      </c>
      <c r="D156" s="27" t="s">
        <v>1045</v>
      </c>
      <c r="E156" s="27" t="s">
        <v>1043</v>
      </c>
      <c r="F156" s="27" t="s">
        <v>1033</v>
      </c>
    </row>
    <row r="157" spans="1:6">
      <c r="A157" s="30">
        <v>46178</v>
      </c>
      <c r="B157" s="27">
        <v>2026</v>
      </c>
      <c r="C157" s="27">
        <v>6</v>
      </c>
      <c r="D157" s="27" t="s">
        <v>1045</v>
      </c>
      <c r="E157" s="27" t="s">
        <v>1043</v>
      </c>
      <c r="F157" s="27" t="s">
        <v>1034</v>
      </c>
    </row>
    <row r="158" spans="1:6">
      <c r="A158" s="30">
        <v>46179</v>
      </c>
      <c r="B158" s="27">
        <v>2026</v>
      </c>
      <c r="C158" s="27">
        <v>6</v>
      </c>
      <c r="D158" s="27" t="s">
        <v>1045</v>
      </c>
      <c r="E158" s="27" t="s">
        <v>1043</v>
      </c>
      <c r="F158" s="27" t="s">
        <v>1035</v>
      </c>
    </row>
    <row r="159" spans="1:6">
      <c r="A159" s="30">
        <v>46180</v>
      </c>
      <c r="B159" s="27">
        <v>2026</v>
      </c>
      <c r="C159" s="27">
        <v>6</v>
      </c>
      <c r="D159" s="27" t="s">
        <v>1045</v>
      </c>
      <c r="E159" s="27" t="s">
        <v>1043</v>
      </c>
      <c r="F159" s="27" t="s">
        <v>1036</v>
      </c>
    </row>
    <row r="160" spans="1:6">
      <c r="A160" s="30">
        <v>46181</v>
      </c>
      <c r="B160" s="27">
        <v>2026</v>
      </c>
      <c r="C160" s="27">
        <v>6</v>
      </c>
      <c r="D160" s="27" t="s">
        <v>1045</v>
      </c>
      <c r="E160" s="27" t="s">
        <v>1043</v>
      </c>
      <c r="F160" s="27" t="s">
        <v>1037</v>
      </c>
    </row>
    <row r="161" spans="1:6">
      <c r="A161" s="30">
        <v>46182</v>
      </c>
      <c r="B161" s="27">
        <v>2026</v>
      </c>
      <c r="C161" s="27">
        <v>6</v>
      </c>
      <c r="D161" s="27" t="s">
        <v>1045</v>
      </c>
      <c r="E161" s="27" t="s">
        <v>1043</v>
      </c>
      <c r="F161" s="27" t="s">
        <v>1038</v>
      </c>
    </row>
    <row r="162" spans="1:6">
      <c r="A162" s="30">
        <v>46183</v>
      </c>
      <c r="B162" s="27">
        <v>2026</v>
      </c>
      <c r="C162" s="27">
        <v>6</v>
      </c>
      <c r="D162" s="27" t="s">
        <v>1045</v>
      </c>
      <c r="E162" s="27" t="s">
        <v>1043</v>
      </c>
      <c r="F162" s="27" t="s">
        <v>1039</v>
      </c>
    </row>
    <row r="163" spans="1:6">
      <c r="A163" s="30">
        <v>46184</v>
      </c>
      <c r="B163" s="27">
        <v>2026</v>
      </c>
      <c r="C163" s="27">
        <v>6</v>
      </c>
      <c r="D163" s="27" t="s">
        <v>1045</v>
      </c>
      <c r="E163" s="27" t="s">
        <v>1043</v>
      </c>
      <c r="F163" s="27" t="s">
        <v>1033</v>
      </c>
    </row>
    <row r="164" spans="1:6">
      <c r="A164" s="30">
        <v>46185</v>
      </c>
      <c r="B164" s="27">
        <v>2026</v>
      </c>
      <c r="C164" s="27">
        <v>6</v>
      </c>
      <c r="D164" s="27" t="s">
        <v>1045</v>
      </c>
      <c r="E164" s="27" t="s">
        <v>1043</v>
      </c>
      <c r="F164" s="27" t="s">
        <v>1034</v>
      </c>
    </row>
    <row r="165" spans="1:6">
      <c r="A165" s="30">
        <v>46186</v>
      </c>
      <c r="B165" s="27">
        <v>2026</v>
      </c>
      <c r="C165" s="27">
        <v>6</v>
      </c>
      <c r="D165" s="27" t="s">
        <v>1045</v>
      </c>
      <c r="E165" s="27" t="s">
        <v>1043</v>
      </c>
      <c r="F165" s="27" t="s">
        <v>1035</v>
      </c>
    </row>
    <row r="166" spans="1:6">
      <c r="A166" s="30">
        <v>46187</v>
      </c>
      <c r="B166" s="27">
        <v>2026</v>
      </c>
      <c r="C166" s="27">
        <v>6</v>
      </c>
      <c r="D166" s="27" t="s">
        <v>1045</v>
      </c>
      <c r="E166" s="27" t="s">
        <v>1043</v>
      </c>
      <c r="F166" s="27" t="s">
        <v>1036</v>
      </c>
    </row>
    <row r="167" spans="1:6">
      <c r="A167" s="30">
        <v>46188</v>
      </c>
      <c r="B167" s="27">
        <v>2026</v>
      </c>
      <c r="C167" s="27">
        <v>6</v>
      </c>
      <c r="D167" s="27" t="s">
        <v>1045</v>
      </c>
      <c r="E167" s="27" t="s">
        <v>1043</v>
      </c>
      <c r="F167" s="27" t="s">
        <v>1037</v>
      </c>
    </row>
    <row r="168" spans="1:6">
      <c r="A168" s="30">
        <v>46189</v>
      </c>
      <c r="B168" s="27">
        <v>2026</v>
      </c>
      <c r="C168" s="27">
        <v>6</v>
      </c>
      <c r="D168" s="27" t="s">
        <v>1045</v>
      </c>
      <c r="E168" s="27" t="s">
        <v>1043</v>
      </c>
      <c r="F168" s="27" t="s">
        <v>1038</v>
      </c>
    </row>
    <row r="169" spans="1:6">
      <c r="A169" s="30">
        <v>46190</v>
      </c>
      <c r="B169" s="27">
        <v>2026</v>
      </c>
      <c r="C169" s="27">
        <v>6</v>
      </c>
      <c r="D169" s="27" t="s">
        <v>1045</v>
      </c>
      <c r="E169" s="27" t="s">
        <v>1043</v>
      </c>
      <c r="F169" s="27" t="s">
        <v>1039</v>
      </c>
    </row>
    <row r="170" spans="1:6">
      <c r="A170" s="30">
        <v>46191</v>
      </c>
      <c r="B170" s="27">
        <v>2026</v>
      </c>
      <c r="C170" s="27">
        <v>6</v>
      </c>
      <c r="D170" s="27" t="s">
        <v>1045</v>
      </c>
      <c r="E170" s="27" t="s">
        <v>1043</v>
      </c>
      <c r="F170" s="27" t="s">
        <v>1033</v>
      </c>
    </row>
    <row r="171" spans="1:6">
      <c r="A171" s="30">
        <v>46192</v>
      </c>
      <c r="B171" s="27">
        <v>2026</v>
      </c>
      <c r="C171" s="27">
        <v>6</v>
      </c>
      <c r="D171" s="27" t="s">
        <v>1045</v>
      </c>
      <c r="E171" s="27" t="s">
        <v>1043</v>
      </c>
      <c r="F171" s="27" t="s">
        <v>1034</v>
      </c>
    </row>
    <row r="172" spans="1:6">
      <c r="A172" s="30">
        <v>46193</v>
      </c>
      <c r="B172" s="27">
        <v>2026</v>
      </c>
      <c r="C172" s="27">
        <v>6</v>
      </c>
      <c r="D172" s="27" t="s">
        <v>1045</v>
      </c>
      <c r="E172" s="27" t="s">
        <v>1043</v>
      </c>
      <c r="F172" s="27" t="s">
        <v>1035</v>
      </c>
    </row>
    <row r="173" spans="1:6">
      <c r="A173" s="30">
        <v>46194</v>
      </c>
      <c r="B173" s="27">
        <v>2026</v>
      </c>
      <c r="C173" s="27">
        <v>6</v>
      </c>
      <c r="D173" s="27" t="s">
        <v>1045</v>
      </c>
      <c r="E173" s="27" t="s">
        <v>1043</v>
      </c>
      <c r="F173" s="27" t="s">
        <v>1036</v>
      </c>
    </row>
    <row r="174" spans="1:6">
      <c r="A174" s="30">
        <v>46195</v>
      </c>
      <c r="B174" s="27">
        <v>2026</v>
      </c>
      <c r="C174" s="27">
        <v>6</v>
      </c>
      <c r="D174" s="27" t="s">
        <v>1045</v>
      </c>
      <c r="E174" s="27" t="s">
        <v>1043</v>
      </c>
      <c r="F174" s="27" t="s">
        <v>1037</v>
      </c>
    </row>
    <row r="175" spans="1:6">
      <c r="A175" s="30">
        <v>46196</v>
      </c>
      <c r="B175" s="27">
        <v>2026</v>
      </c>
      <c r="C175" s="27">
        <v>6</v>
      </c>
      <c r="D175" s="27" t="s">
        <v>1045</v>
      </c>
      <c r="E175" s="27" t="s">
        <v>1043</v>
      </c>
      <c r="F175" s="27" t="s">
        <v>1038</v>
      </c>
    </row>
    <row r="176" spans="1:6">
      <c r="A176" s="30">
        <v>46197</v>
      </c>
      <c r="B176" s="27">
        <v>2026</v>
      </c>
      <c r="C176" s="27">
        <v>6</v>
      </c>
      <c r="D176" s="27" t="s">
        <v>1045</v>
      </c>
      <c r="E176" s="27" t="s">
        <v>1043</v>
      </c>
      <c r="F176" s="27" t="s">
        <v>1039</v>
      </c>
    </row>
    <row r="177" spans="1:6">
      <c r="A177" s="30">
        <v>46198</v>
      </c>
      <c r="B177" s="27">
        <v>2026</v>
      </c>
      <c r="C177" s="27">
        <v>6</v>
      </c>
      <c r="D177" s="27" t="s">
        <v>1045</v>
      </c>
      <c r="E177" s="27" t="s">
        <v>1043</v>
      </c>
      <c r="F177" s="27" t="s">
        <v>1033</v>
      </c>
    </row>
    <row r="178" spans="1:6">
      <c r="A178" s="30">
        <v>46199</v>
      </c>
      <c r="B178" s="27">
        <v>2026</v>
      </c>
      <c r="C178" s="27">
        <v>6</v>
      </c>
      <c r="D178" s="27" t="s">
        <v>1045</v>
      </c>
      <c r="E178" s="27" t="s">
        <v>1043</v>
      </c>
      <c r="F178" s="27" t="s">
        <v>1034</v>
      </c>
    </row>
    <row r="179" spans="1:6">
      <c r="A179" s="30">
        <v>46200</v>
      </c>
      <c r="B179" s="27">
        <v>2026</v>
      </c>
      <c r="C179" s="27">
        <v>6</v>
      </c>
      <c r="D179" s="27" t="s">
        <v>1045</v>
      </c>
      <c r="E179" s="27" t="s">
        <v>1043</v>
      </c>
      <c r="F179" s="27" t="s">
        <v>1035</v>
      </c>
    </row>
    <row r="180" spans="1:6">
      <c r="A180" s="30">
        <v>46201</v>
      </c>
      <c r="B180" s="27">
        <v>2026</v>
      </c>
      <c r="C180" s="27">
        <v>6</v>
      </c>
      <c r="D180" s="27" t="s">
        <v>1045</v>
      </c>
      <c r="E180" s="27" t="s">
        <v>1043</v>
      </c>
      <c r="F180" s="27" t="s">
        <v>1036</v>
      </c>
    </row>
    <row r="181" spans="1:6">
      <c r="A181" s="30">
        <v>46202</v>
      </c>
      <c r="B181" s="27">
        <v>2026</v>
      </c>
      <c r="C181" s="27">
        <v>6</v>
      </c>
      <c r="D181" s="27" t="s">
        <v>1045</v>
      </c>
      <c r="E181" s="27" t="s">
        <v>1043</v>
      </c>
      <c r="F181" s="27" t="s">
        <v>1037</v>
      </c>
    </row>
    <row r="182" spans="1:6">
      <c r="A182" s="30">
        <v>46203</v>
      </c>
      <c r="B182" s="27">
        <v>2026</v>
      </c>
      <c r="C182" s="27">
        <v>6</v>
      </c>
      <c r="D182" s="27" t="s">
        <v>1045</v>
      </c>
      <c r="E182" s="27" t="s">
        <v>1043</v>
      </c>
      <c r="F182" s="27" t="s">
        <v>1038</v>
      </c>
    </row>
    <row r="183" spans="1:6">
      <c r="A183" s="30">
        <v>46204</v>
      </c>
      <c r="B183" s="27">
        <v>2026</v>
      </c>
      <c r="C183" s="27">
        <v>7</v>
      </c>
      <c r="D183" s="27" t="s">
        <v>1046</v>
      </c>
      <c r="E183" s="27" t="s">
        <v>1047</v>
      </c>
      <c r="F183" s="27" t="s">
        <v>1039</v>
      </c>
    </row>
    <row r="184" spans="1:6">
      <c r="A184" s="30">
        <v>46205</v>
      </c>
      <c r="B184" s="27">
        <v>2026</v>
      </c>
      <c r="C184" s="27">
        <v>7</v>
      </c>
      <c r="D184" s="27" t="s">
        <v>1046</v>
      </c>
      <c r="E184" s="27" t="s">
        <v>1047</v>
      </c>
      <c r="F184" s="27" t="s">
        <v>1033</v>
      </c>
    </row>
    <row r="185" spans="1:6">
      <c r="A185" s="30">
        <v>46206</v>
      </c>
      <c r="B185" s="27">
        <v>2026</v>
      </c>
      <c r="C185" s="27">
        <v>7</v>
      </c>
      <c r="D185" s="27" t="s">
        <v>1046</v>
      </c>
      <c r="E185" s="27" t="s">
        <v>1047</v>
      </c>
      <c r="F185" s="27" t="s">
        <v>1034</v>
      </c>
    </row>
    <row r="186" spans="1:6">
      <c r="A186" s="30">
        <v>46207</v>
      </c>
      <c r="B186" s="27">
        <v>2026</v>
      </c>
      <c r="C186" s="27">
        <v>7</v>
      </c>
      <c r="D186" s="27" t="s">
        <v>1046</v>
      </c>
      <c r="E186" s="27" t="s">
        <v>1047</v>
      </c>
      <c r="F186" s="27" t="s">
        <v>1035</v>
      </c>
    </row>
    <row r="187" spans="1:6">
      <c r="A187" s="30">
        <v>46208</v>
      </c>
      <c r="B187" s="27">
        <v>2026</v>
      </c>
      <c r="C187" s="27">
        <v>7</v>
      </c>
      <c r="D187" s="27" t="s">
        <v>1046</v>
      </c>
      <c r="E187" s="27" t="s">
        <v>1047</v>
      </c>
      <c r="F187" s="27" t="s">
        <v>1036</v>
      </c>
    </row>
    <row r="188" spans="1:6">
      <c r="A188" s="30">
        <v>46209</v>
      </c>
      <c r="B188" s="27">
        <v>2026</v>
      </c>
      <c r="C188" s="27">
        <v>7</v>
      </c>
      <c r="D188" s="27" t="s">
        <v>1046</v>
      </c>
      <c r="E188" s="27" t="s">
        <v>1047</v>
      </c>
      <c r="F188" s="27" t="s">
        <v>1037</v>
      </c>
    </row>
    <row r="189" spans="1:6">
      <c r="A189" s="30">
        <v>46210</v>
      </c>
      <c r="B189" s="27">
        <v>2026</v>
      </c>
      <c r="C189" s="27">
        <v>7</v>
      </c>
      <c r="D189" s="27" t="s">
        <v>1046</v>
      </c>
      <c r="E189" s="27" t="s">
        <v>1047</v>
      </c>
      <c r="F189" s="27" t="s">
        <v>1038</v>
      </c>
    </row>
    <row r="190" spans="1:6">
      <c r="A190" s="30">
        <v>46211</v>
      </c>
      <c r="B190" s="27">
        <v>2026</v>
      </c>
      <c r="C190" s="27">
        <v>7</v>
      </c>
      <c r="D190" s="27" t="s">
        <v>1046</v>
      </c>
      <c r="E190" s="27" t="s">
        <v>1047</v>
      </c>
      <c r="F190" s="27" t="s">
        <v>1039</v>
      </c>
    </row>
    <row r="191" spans="1:6">
      <c r="A191" s="30">
        <v>46212</v>
      </c>
      <c r="B191" s="27">
        <v>2026</v>
      </c>
      <c r="C191" s="27">
        <v>7</v>
      </c>
      <c r="D191" s="27" t="s">
        <v>1046</v>
      </c>
      <c r="E191" s="27" t="s">
        <v>1047</v>
      </c>
      <c r="F191" s="27" t="s">
        <v>1033</v>
      </c>
    </row>
    <row r="192" spans="1:6">
      <c r="A192" s="30">
        <v>46213</v>
      </c>
      <c r="B192" s="27">
        <v>2026</v>
      </c>
      <c r="C192" s="27">
        <v>7</v>
      </c>
      <c r="D192" s="27" t="s">
        <v>1046</v>
      </c>
      <c r="E192" s="27" t="s">
        <v>1047</v>
      </c>
      <c r="F192" s="27" t="s">
        <v>1034</v>
      </c>
    </row>
    <row r="193" spans="1:6">
      <c r="A193" s="30">
        <v>46214</v>
      </c>
      <c r="B193" s="27">
        <v>2026</v>
      </c>
      <c r="C193" s="27">
        <v>7</v>
      </c>
      <c r="D193" s="27" t="s">
        <v>1046</v>
      </c>
      <c r="E193" s="27" t="s">
        <v>1047</v>
      </c>
      <c r="F193" s="27" t="s">
        <v>1035</v>
      </c>
    </row>
    <row r="194" spans="1:6">
      <c r="A194" s="30">
        <v>46215</v>
      </c>
      <c r="B194" s="27">
        <v>2026</v>
      </c>
      <c r="C194" s="27">
        <v>7</v>
      </c>
      <c r="D194" s="27" t="s">
        <v>1046</v>
      </c>
      <c r="E194" s="27" t="s">
        <v>1047</v>
      </c>
      <c r="F194" s="27" t="s">
        <v>1036</v>
      </c>
    </row>
    <row r="195" spans="1:6">
      <c r="A195" s="30">
        <v>46216</v>
      </c>
      <c r="B195" s="27">
        <v>2026</v>
      </c>
      <c r="C195" s="27">
        <v>7</v>
      </c>
      <c r="D195" s="27" t="s">
        <v>1046</v>
      </c>
      <c r="E195" s="27" t="s">
        <v>1047</v>
      </c>
      <c r="F195" s="27" t="s">
        <v>1037</v>
      </c>
    </row>
    <row r="196" spans="1:6">
      <c r="A196" s="30">
        <v>46217</v>
      </c>
      <c r="B196" s="27">
        <v>2026</v>
      </c>
      <c r="C196" s="27">
        <v>7</v>
      </c>
      <c r="D196" s="27" t="s">
        <v>1046</v>
      </c>
      <c r="E196" s="27" t="s">
        <v>1047</v>
      </c>
      <c r="F196" s="27" t="s">
        <v>1038</v>
      </c>
    </row>
    <row r="197" spans="1:6">
      <c r="A197" s="30">
        <v>46218</v>
      </c>
      <c r="B197" s="27">
        <v>2026</v>
      </c>
      <c r="C197" s="27">
        <v>7</v>
      </c>
      <c r="D197" s="27" t="s">
        <v>1046</v>
      </c>
      <c r="E197" s="27" t="s">
        <v>1047</v>
      </c>
      <c r="F197" s="27" t="s">
        <v>1039</v>
      </c>
    </row>
    <row r="198" spans="1:6">
      <c r="A198" s="30">
        <v>46219</v>
      </c>
      <c r="B198" s="27">
        <v>2026</v>
      </c>
      <c r="C198" s="27">
        <v>7</v>
      </c>
      <c r="D198" s="27" t="s">
        <v>1046</v>
      </c>
      <c r="E198" s="27" t="s">
        <v>1047</v>
      </c>
      <c r="F198" s="27" t="s">
        <v>1033</v>
      </c>
    </row>
    <row r="199" spans="1:6">
      <c r="A199" s="30">
        <v>46220</v>
      </c>
      <c r="B199" s="27">
        <v>2026</v>
      </c>
      <c r="C199" s="27">
        <v>7</v>
      </c>
      <c r="D199" s="27" t="s">
        <v>1046</v>
      </c>
      <c r="E199" s="27" t="s">
        <v>1047</v>
      </c>
      <c r="F199" s="27" t="s">
        <v>1034</v>
      </c>
    </row>
    <row r="200" spans="1:6">
      <c r="A200" s="30">
        <v>46221</v>
      </c>
      <c r="B200" s="27">
        <v>2026</v>
      </c>
      <c r="C200" s="27">
        <v>7</v>
      </c>
      <c r="D200" s="27" t="s">
        <v>1046</v>
      </c>
      <c r="E200" s="27" t="s">
        <v>1047</v>
      </c>
      <c r="F200" s="27" t="s">
        <v>1035</v>
      </c>
    </row>
    <row r="201" spans="1:6">
      <c r="A201" s="30">
        <v>46222</v>
      </c>
      <c r="B201" s="27">
        <v>2026</v>
      </c>
      <c r="C201" s="27">
        <v>7</v>
      </c>
      <c r="D201" s="27" t="s">
        <v>1046</v>
      </c>
      <c r="E201" s="27" t="s">
        <v>1047</v>
      </c>
      <c r="F201" s="27" t="s">
        <v>1036</v>
      </c>
    </row>
    <row r="202" spans="1:6">
      <c r="A202" s="30">
        <v>46223</v>
      </c>
      <c r="B202" s="27">
        <v>2026</v>
      </c>
      <c r="C202" s="27">
        <v>7</v>
      </c>
      <c r="D202" s="27" t="s">
        <v>1046</v>
      </c>
      <c r="E202" s="27" t="s">
        <v>1047</v>
      </c>
      <c r="F202" s="27" t="s">
        <v>1037</v>
      </c>
    </row>
    <row r="203" spans="1:6">
      <c r="A203" s="30">
        <v>46224</v>
      </c>
      <c r="B203" s="27">
        <v>2026</v>
      </c>
      <c r="C203" s="27">
        <v>7</v>
      </c>
      <c r="D203" s="27" t="s">
        <v>1046</v>
      </c>
      <c r="E203" s="27" t="s">
        <v>1047</v>
      </c>
      <c r="F203" s="27" t="s">
        <v>1038</v>
      </c>
    </row>
    <row r="204" spans="1:6">
      <c r="A204" s="30">
        <v>46225</v>
      </c>
      <c r="B204" s="27">
        <v>2026</v>
      </c>
      <c r="C204" s="27">
        <v>7</v>
      </c>
      <c r="D204" s="27" t="s">
        <v>1046</v>
      </c>
      <c r="E204" s="27" t="s">
        <v>1047</v>
      </c>
      <c r="F204" s="27" t="s">
        <v>1039</v>
      </c>
    </row>
    <row r="205" spans="1:6">
      <c r="A205" s="30">
        <v>46226</v>
      </c>
      <c r="B205" s="27">
        <v>2026</v>
      </c>
      <c r="C205" s="27">
        <v>7</v>
      </c>
      <c r="D205" s="27" t="s">
        <v>1046</v>
      </c>
      <c r="E205" s="27" t="s">
        <v>1047</v>
      </c>
      <c r="F205" s="27" t="s">
        <v>1033</v>
      </c>
    </row>
    <row r="206" spans="1:6">
      <c r="A206" s="30">
        <v>46227</v>
      </c>
      <c r="B206" s="27">
        <v>2026</v>
      </c>
      <c r="C206" s="27">
        <v>7</v>
      </c>
      <c r="D206" s="27" t="s">
        <v>1046</v>
      </c>
      <c r="E206" s="27" t="s">
        <v>1047</v>
      </c>
      <c r="F206" s="27" t="s">
        <v>1034</v>
      </c>
    </row>
    <row r="207" spans="1:6">
      <c r="A207" s="30">
        <v>46228</v>
      </c>
      <c r="B207" s="27">
        <v>2026</v>
      </c>
      <c r="C207" s="27">
        <v>7</v>
      </c>
      <c r="D207" s="27" t="s">
        <v>1046</v>
      </c>
      <c r="E207" s="27" t="s">
        <v>1047</v>
      </c>
      <c r="F207" s="27" t="s">
        <v>1035</v>
      </c>
    </row>
    <row r="208" spans="1:6">
      <c r="A208" s="30">
        <v>46229</v>
      </c>
      <c r="B208" s="27">
        <v>2026</v>
      </c>
      <c r="C208" s="27">
        <v>7</v>
      </c>
      <c r="D208" s="27" t="s">
        <v>1046</v>
      </c>
      <c r="E208" s="27" t="s">
        <v>1047</v>
      </c>
      <c r="F208" s="27" t="s">
        <v>1036</v>
      </c>
    </row>
    <row r="209" spans="1:6">
      <c r="A209" s="30">
        <v>46230</v>
      </c>
      <c r="B209" s="27">
        <v>2026</v>
      </c>
      <c r="C209" s="27">
        <v>7</v>
      </c>
      <c r="D209" s="27" t="s">
        <v>1046</v>
      </c>
      <c r="E209" s="27" t="s">
        <v>1047</v>
      </c>
      <c r="F209" s="27" t="s">
        <v>1037</v>
      </c>
    </row>
    <row r="210" spans="1:6">
      <c r="A210" s="30">
        <v>46231</v>
      </c>
      <c r="B210" s="27">
        <v>2026</v>
      </c>
      <c r="C210" s="27">
        <v>7</v>
      </c>
      <c r="D210" s="27" t="s">
        <v>1046</v>
      </c>
      <c r="E210" s="27" t="s">
        <v>1047</v>
      </c>
      <c r="F210" s="27" t="s">
        <v>1038</v>
      </c>
    </row>
    <row r="211" spans="1:6">
      <c r="A211" s="30">
        <v>46232</v>
      </c>
      <c r="B211" s="27">
        <v>2026</v>
      </c>
      <c r="C211" s="27">
        <v>7</v>
      </c>
      <c r="D211" s="27" t="s">
        <v>1046</v>
      </c>
      <c r="E211" s="27" t="s">
        <v>1047</v>
      </c>
      <c r="F211" s="27" t="s">
        <v>1039</v>
      </c>
    </row>
    <row r="212" spans="1:6">
      <c r="A212" s="30">
        <v>46233</v>
      </c>
      <c r="B212" s="27">
        <v>2026</v>
      </c>
      <c r="C212" s="27">
        <v>7</v>
      </c>
      <c r="D212" s="27" t="s">
        <v>1046</v>
      </c>
      <c r="E212" s="27" t="s">
        <v>1047</v>
      </c>
      <c r="F212" s="27" t="s">
        <v>1033</v>
      </c>
    </row>
    <row r="213" spans="1:6">
      <c r="A213" s="30">
        <v>46234</v>
      </c>
      <c r="B213" s="27">
        <v>2026</v>
      </c>
      <c r="C213" s="27">
        <v>7</v>
      </c>
      <c r="D213" s="27" t="s">
        <v>1046</v>
      </c>
      <c r="E213" s="27" t="s">
        <v>1047</v>
      </c>
      <c r="F213" s="27" t="s">
        <v>1034</v>
      </c>
    </row>
    <row r="214" spans="1:6">
      <c r="A214" s="30">
        <v>46235</v>
      </c>
      <c r="B214" s="27">
        <v>2026</v>
      </c>
      <c r="C214" s="27">
        <v>8</v>
      </c>
      <c r="D214" s="27" t="s">
        <v>1048</v>
      </c>
      <c r="E214" s="27" t="s">
        <v>1047</v>
      </c>
      <c r="F214" s="27" t="s">
        <v>1035</v>
      </c>
    </row>
    <row r="215" spans="1:6">
      <c r="A215" s="30">
        <v>46236</v>
      </c>
      <c r="B215" s="27">
        <v>2026</v>
      </c>
      <c r="C215" s="27">
        <v>8</v>
      </c>
      <c r="D215" s="27" t="s">
        <v>1048</v>
      </c>
      <c r="E215" s="27" t="s">
        <v>1047</v>
      </c>
      <c r="F215" s="27" t="s">
        <v>1036</v>
      </c>
    </row>
    <row r="216" spans="1:6">
      <c r="A216" s="30">
        <v>46237</v>
      </c>
      <c r="B216" s="27">
        <v>2026</v>
      </c>
      <c r="C216" s="27">
        <v>8</v>
      </c>
      <c r="D216" s="27" t="s">
        <v>1048</v>
      </c>
      <c r="E216" s="27" t="s">
        <v>1047</v>
      </c>
      <c r="F216" s="27" t="s">
        <v>1037</v>
      </c>
    </row>
    <row r="217" spans="1:6">
      <c r="A217" s="30">
        <v>46238</v>
      </c>
      <c r="B217" s="27">
        <v>2026</v>
      </c>
      <c r="C217" s="27">
        <v>8</v>
      </c>
      <c r="D217" s="27" t="s">
        <v>1048</v>
      </c>
      <c r="E217" s="27" t="s">
        <v>1047</v>
      </c>
      <c r="F217" s="27" t="s">
        <v>1038</v>
      </c>
    </row>
    <row r="218" spans="1:6">
      <c r="A218" s="30">
        <v>46239</v>
      </c>
      <c r="B218" s="27">
        <v>2026</v>
      </c>
      <c r="C218" s="27">
        <v>8</v>
      </c>
      <c r="D218" s="27" t="s">
        <v>1048</v>
      </c>
      <c r="E218" s="27" t="s">
        <v>1047</v>
      </c>
      <c r="F218" s="27" t="s">
        <v>1039</v>
      </c>
    </row>
    <row r="219" spans="1:6">
      <c r="A219" s="30">
        <v>46240</v>
      </c>
      <c r="B219" s="27">
        <v>2026</v>
      </c>
      <c r="C219" s="27">
        <v>8</v>
      </c>
      <c r="D219" s="27" t="s">
        <v>1048</v>
      </c>
      <c r="E219" s="27" t="s">
        <v>1047</v>
      </c>
      <c r="F219" s="27" t="s">
        <v>1033</v>
      </c>
    </row>
    <row r="220" spans="1:6">
      <c r="A220" s="30">
        <v>46241</v>
      </c>
      <c r="B220" s="27">
        <v>2026</v>
      </c>
      <c r="C220" s="27">
        <v>8</v>
      </c>
      <c r="D220" s="27" t="s">
        <v>1048</v>
      </c>
      <c r="E220" s="27" t="s">
        <v>1047</v>
      </c>
      <c r="F220" s="27" t="s">
        <v>1034</v>
      </c>
    </row>
    <row r="221" spans="1:6">
      <c r="A221" s="30">
        <v>46242</v>
      </c>
      <c r="B221" s="27">
        <v>2026</v>
      </c>
      <c r="C221" s="27">
        <v>8</v>
      </c>
      <c r="D221" s="27" t="s">
        <v>1048</v>
      </c>
      <c r="E221" s="27" t="s">
        <v>1047</v>
      </c>
      <c r="F221" s="27" t="s">
        <v>1035</v>
      </c>
    </row>
    <row r="222" spans="1:6">
      <c r="A222" s="30">
        <v>46243</v>
      </c>
      <c r="B222" s="27">
        <v>2026</v>
      </c>
      <c r="C222" s="27">
        <v>8</v>
      </c>
      <c r="D222" s="27" t="s">
        <v>1048</v>
      </c>
      <c r="E222" s="27" t="s">
        <v>1047</v>
      </c>
      <c r="F222" s="27" t="s">
        <v>1036</v>
      </c>
    </row>
    <row r="223" spans="1:6">
      <c r="A223" s="30">
        <v>46244</v>
      </c>
      <c r="B223" s="27">
        <v>2026</v>
      </c>
      <c r="C223" s="27">
        <v>8</v>
      </c>
      <c r="D223" s="27" t="s">
        <v>1048</v>
      </c>
      <c r="E223" s="27" t="s">
        <v>1047</v>
      </c>
      <c r="F223" s="27" t="s">
        <v>1037</v>
      </c>
    </row>
    <row r="224" spans="1:6">
      <c r="A224" s="30">
        <v>46245</v>
      </c>
      <c r="B224" s="27">
        <v>2026</v>
      </c>
      <c r="C224" s="27">
        <v>8</v>
      </c>
      <c r="D224" s="27" t="s">
        <v>1048</v>
      </c>
      <c r="E224" s="27" t="s">
        <v>1047</v>
      </c>
      <c r="F224" s="27" t="s">
        <v>1038</v>
      </c>
    </row>
    <row r="225" spans="1:6">
      <c r="A225" s="30">
        <v>46246</v>
      </c>
      <c r="B225" s="27">
        <v>2026</v>
      </c>
      <c r="C225" s="27">
        <v>8</v>
      </c>
      <c r="D225" s="27" t="s">
        <v>1048</v>
      </c>
      <c r="E225" s="27" t="s">
        <v>1047</v>
      </c>
      <c r="F225" s="27" t="s">
        <v>1039</v>
      </c>
    </row>
    <row r="226" spans="1:6">
      <c r="A226" s="30">
        <v>46247</v>
      </c>
      <c r="B226" s="27">
        <v>2026</v>
      </c>
      <c r="C226" s="27">
        <v>8</v>
      </c>
      <c r="D226" s="27" t="s">
        <v>1048</v>
      </c>
      <c r="E226" s="27" t="s">
        <v>1047</v>
      </c>
      <c r="F226" s="27" t="s">
        <v>1033</v>
      </c>
    </row>
    <row r="227" spans="1:6">
      <c r="A227" s="30">
        <v>46248</v>
      </c>
      <c r="B227" s="27">
        <v>2026</v>
      </c>
      <c r="C227" s="27">
        <v>8</v>
      </c>
      <c r="D227" s="27" t="s">
        <v>1048</v>
      </c>
      <c r="E227" s="27" t="s">
        <v>1047</v>
      </c>
      <c r="F227" s="27" t="s">
        <v>1034</v>
      </c>
    </row>
    <row r="228" spans="1:6">
      <c r="A228" s="30">
        <v>46249</v>
      </c>
      <c r="B228" s="27">
        <v>2026</v>
      </c>
      <c r="C228" s="27">
        <v>8</v>
      </c>
      <c r="D228" s="27" t="s">
        <v>1048</v>
      </c>
      <c r="E228" s="27" t="s">
        <v>1047</v>
      </c>
      <c r="F228" s="27" t="s">
        <v>1035</v>
      </c>
    </row>
    <row r="229" spans="1:6">
      <c r="A229" s="30">
        <v>46250</v>
      </c>
      <c r="B229" s="27">
        <v>2026</v>
      </c>
      <c r="C229" s="27">
        <v>8</v>
      </c>
      <c r="D229" s="27" t="s">
        <v>1048</v>
      </c>
      <c r="E229" s="27" t="s">
        <v>1047</v>
      </c>
      <c r="F229" s="27" t="s">
        <v>1036</v>
      </c>
    </row>
    <row r="230" spans="1:6">
      <c r="A230" s="30">
        <v>46251</v>
      </c>
      <c r="B230" s="27">
        <v>2026</v>
      </c>
      <c r="C230" s="27">
        <v>8</v>
      </c>
      <c r="D230" s="27" t="s">
        <v>1048</v>
      </c>
      <c r="E230" s="27" t="s">
        <v>1047</v>
      </c>
      <c r="F230" s="27" t="s">
        <v>1037</v>
      </c>
    </row>
    <row r="231" spans="1:6">
      <c r="A231" s="30">
        <v>46252</v>
      </c>
      <c r="B231" s="27">
        <v>2026</v>
      </c>
      <c r="C231" s="27">
        <v>8</v>
      </c>
      <c r="D231" s="27" t="s">
        <v>1048</v>
      </c>
      <c r="E231" s="27" t="s">
        <v>1047</v>
      </c>
      <c r="F231" s="27" t="s">
        <v>1038</v>
      </c>
    </row>
    <row r="232" spans="1:6">
      <c r="A232" s="30">
        <v>46253</v>
      </c>
      <c r="B232" s="27">
        <v>2026</v>
      </c>
      <c r="C232" s="27">
        <v>8</v>
      </c>
      <c r="D232" s="27" t="s">
        <v>1048</v>
      </c>
      <c r="E232" s="27" t="s">
        <v>1047</v>
      </c>
      <c r="F232" s="27" t="s">
        <v>1039</v>
      </c>
    </row>
    <row r="233" spans="1:6">
      <c r="A233" s="30">
        <v>46254</v>
      </c>
      <c r="B233" s="27">
        <v>2026</v>
      </c>
      <c r="C233" s="27">
        <v>8</v>
      </c>
      <c r="D233" s="27" t="s">
        <v>1048</v>
      </c>
      <c r="E233" s="27" t="s">
        <v>1047</v>
      </c>
      <c r="F233" s="27" t="s">
        <v>1033</v>
      </c>
    </row>
    <row r="234" spans="1:6">
      <c r="A234" s="30">
        <v>46255</v>
      </c>
      <c r="B234" s="27">
        <v>2026</v>
      </c>
      <c r="C234" s="27">
        <v>8</v>
      </c>
      <c r="D234" s="27" t="s">
        <v>1048</v>
      </c>
      <c r="E234" s="27" t="s">
        <v>1047</v>
      </c>
      <c r="F234" s="27" t="s">
        <v>1034</v>
      </c>
    </row>
    <row r="235" spans="1:6">
      <c r="A235" s="30">
        <v>46256</v>
      </c>
      <c r="B235" s="27">
        <v>2026</v>
      </c>
      <c r="C235" s="27">
        <v>8</v>
      </c>
      <c r="D235" s="27" t="s">
        <v>1048</v>
      </c>
      <c r="E235" s="27" t="s">
        <v>1047</v>
      </c>
      <c r="F235" s="27" t="s">
        <v>1035</v>
      </c>
    </row>
    <row r="236" spans="1:6">
      <c r="A236" s="30">
        <v>46257</v>
      </c>
      <c r="B236" s="27">
        <v>2026</v>
      </c>
      <c r="C236" s="27">
        <v>8</v>
      </c>
      <c r="D236" s="27" t="s">
        <v>1048</v>
      </c>
      <c r="E236" s="27" t="s">
        <v>1047</v>
      </c>
      <c r="F236" s="27" t="s">
        <v>1036</v>
      </c>
    </row>
    <row r="237" spans="1:6">
      <c r="A237" s="30">
        <v>46258</v>
      </c>
      <c r="B237" s="27">
        <v>2026</v>
      </c>
      <c r="C237" s="27">
        <v>8</v>
      </c>
      <c r="D237" s="27" t="s">
        <v>1048</v>
      </c>
      <c r="E237" s="27" t="s">
        <v>1047</v>
      </c>
      <c r="F237" s="27" t="s">
        <v>1037</v>
      </c>
    </row>
    <row r="238" spans="1:6">
      <c r="A238" s="30">
        <v>46259</v>
      </c>
      <c r="B238" s="27">
        <v>2026</v>
      </c>
      <c r="C238" s="27">
        <v>8</v>
      </c>
      <c r="D238" s="27" t="s">
        <v>1048</v>
      </c>
      <c r="E238" s="27" t="s">
        <v>1047</v>
      </c>
      <c r="F238" s="27" t="s">
        <v>1038</v>
      </c>
    </row>
    <row r="239" spans="1:6">
      <c r="A239" s="30">
        <v>46260</v>
      </c>
      <c r="B239" s="27">
        <v>2026</v>
      </c>
      <c r="C239" s="27">
        <v>8</v>
      </c>
      <c r="D239" s="27" t="s">
        <v>1048</v>
      </c>
      <c r="E239" s="27" t="s">
        <v>1047</v>
      </c>
      <c r="F239" s="27" t="s">
        <v>1039</v>
      </c>
    </row>
    <row r="240" spans="1:6">
      <c r="A240" s="30">
        <v>46261</v>
      </c>
      <c r="B240" s="27">
        <v>2026</v>
      </c>
      <c r="C240" s="27">
        <v>8</v>
      </c>
      <c r="D240" s="27" t="s">
        <v>1048</v>
      </c>
      <c r="E240" s="27" t="s">
        <v>1047</v>
      </c>
      <c r="F240" s="27" t="s">
        <v>1033</v>
      </c>
    </row>
    <row r="241" spans="1:6">
      <c r="A241" s="30">
        <v>46262</v>
      </c>
      <c r="B241" s="27">
        <v>2026</v>
      </c>
      <c r="C241" s="27">
        <v>8</v>
      </c>
      <c r="D241" s="27" t="s">
        <v>1048</v>
      </c>
      <c r="E241" s="27" t="s">
        <v>1047</v>
      </c>
      <c r="F241" s="27" t="s">
        <v>1034</v>
      </c>
    </row>
    <row r="242" spans="1:6">
      <c r="A242" s="30">
        <v>46263</v>
      </c>
      <c r="B242" s="27">
        <v>2026</v>
      </c>
      <c r="C242" s="27">
        <v>8</v>
      </c>
      <c r="D242" s="27" t="s">
        <v>1048</v>
      </c>
      <c r="E242" s="27" t="s">
        <v>1047</v>
      </c>
      <c r="F242" s="27" t="s">
        <v>1035</v>
      </c>
    </row>
    <row r="243" spans="1:6">
      <c r="A243" s="30">
        <v>46264</v>
      </c>
      <c r="B243" s="27">
        <v>2026</v>
      </c>
      <c r="C243" s="27">
        <v>8</v>
      </c>
      <c r="D243" s="27" t="s">
        <v>1048</v>
      </c>
      <c r="E243" s="27" t="s">
        <v>1047</v>
      </c>
      <c r="F243" s="27" t="s">
        <v>1036</v>
      </c>
    </row>
    <row r="244" spans="1:6">
      <c r="A244" s="30">
        <v>46265</v>
      </c>
      <c r="B244" s="27">
        <v>2026</v>
      </c>
      <c r="C244" s="27">
        <v>8</v>
      </c>
      <c r="D244" s="27" t="s">
        <v>1048</v>
      </c>
      <c r="E244" s="27" t="s">
        <v>1047</v>
      </c>
      <c r="F244" s="27" t="s">
        <v>1037</v>
      </c>
    </row>
    <row r="245" spans="1:6">
      <c r="A245" s="30">
        <v>46266</v>
      </c>
      <c r="B245" s="27">
        <v>2026</v>
      </c>
      <c r="C245" s="27">
        <v>9</v>
      </c>
      <c r="D245" s="27" t="s">
        <v>1049</v>
      </c>
      <c r="E245" s="27" t="s">
        <v>1047</v>
      </c>
      <c r="F245" s="27" t="s">
        <v>1038</v>
      </c>
    </row>
    <row r="246" spans="1:6">
      <c r="A246" s="30">
        <v>46267</v>
      </c>
      <c r="B246" s="27">
        <v>2026</v>
      </c>
      <c r="C246" s="27">
        <v>9</v>
      </c>
      <c r="D246" s="27" t="s">
        <v>1049</v>
      </c>
      <c r="E246" s="27" t="s">
        <v>1047</v>
      </c>
      <c r="F246" s="27" t="s">
        <v>1039</v>
      </c>
    </row>
    <row r="247" spans="1:6">
      <c r="A247" s="30">
        <v>46268</v>
      </c>
      <c r="B247" s="27">
        <v>2026</v>
      </c>
      <c r="C247" s="27">
        <v>9</v>
      </c>
      <c r="D247" s="27" t="s">
        <v>1049</v>
      </c>
      <c r="E247" s="27" t="s">
        <v>1047</v>
      </c>
      <c r="F247" s="27" t="s">
        <v>1033</v>
      </c>
    </row>
    <row r="248" spans="1:6">
      <c r="A248" s="30">
        <v>46269</v>
      </c>
      <c r="B248" s="27">
        <v>2026</v>
      </c>
      <c r="C248" s="27">
        <v>9</v>
      </c>
      <c r="D248" s="27" t="s">
        <v>1049</v>
      </c>
      <c r="E248" s="27" t="s">
        <v>1047</v>
      </c>
      <c r="F248" s="27" t="s">
        <v>1034</v>
      </c>
    </row>
    <row r="249" spans="1:6">
      <c r="A249" s="30">
        <v>46270</v>
      </c>
      <c r="B249" s="27">
        <v>2026</v>
      </c>
      <c r="C249" s="27">
        <v>9</v>
      </c>
      <c r="D249" s="27" t="s">
        <v>1049</v>
      </c>
      <c r="E249" s="27" t="s">
        <v>1047</v>
      </c>
      <c r="F249" s="27" t="s">
        <v>1035</v>
      </c>
    </row>
    <row r="250" spans="1:6">
      <c r="A250" s="30">
        <v>46271</v>
      </c>
      <c r="B250" s="27">
        <v>2026</v>
      </c>
      <c r="C250" s="27">
        <v>9</v>
      </c>
      <c r="D250" s="27" t="s">
        <v>1049</v>
      </c>
      <c r="E250" s="27" t="s">
        <v>1047</v>
      </c>
      <c r="F250" s="27" t="s">
        <v>1036</v>
      </c>
    </row>
    <row r="251" spans="1:6">
      <c r="A251" s="30">
        <v>46272</v>
      </c>
      <c r="B251" s="27">
        <v>2026</v>
      </c>
      <c r="C251" s="27">
        <v>9</v>
      </c>
      <c r="D251" s="27" t="s">
        <v>1049</v>
      </c>
      <c r="E251" s="27" t="s">
        <v>1047</v>
      </c>
      <c r="F251" s="27" t="s">
        <v>1037</v>
      </c>
    </row>
    <row r="252" spans="1:6">
      <c r="A252" s="30">
        <v>46273</v>
      </c>
      <c r="B252" s="27">
        <v>2026</v>
      </c>
      <c r="C252" s="27">
        <v>9</v>
      </c>
      <c r="D252" s="27" t="s">
        <v>1049</v>
      </c>
      <c r="E252" s="27" t="s">
        <v>1047</v>
      </c>
      <c r="F252" s="27" t="s">
        <v>1038</v>
      </c>
    </row>
    <row r="253" spans="1:6">
      <c r="A253" s="30">
        <v>46274</v>
      </c>
      <c r="B253" s="27">
        <v>2026</v>
      </c>
      <c r="C253" s="27">
        <v>9</v>
      </c>
      <c r="D253" s="27" t="s">
        <v>1049</v>
      </c>
      <c r="E253" s="27" t="s">
        <v>1047</v>
      </c>
      <c r="F253" s="27" t="s">
        <v>1039</v>
      </c>
    </row>
    <row r="254" spans="1:6">
      <c r="A254" s="30">
        <v>46275</v>
      </c>
      <c r="B254" s="27">
        <v>2026</v>
      </c>
      <c r="C254" s="27">
        <v>9</v>
      </c>
      <c r="D254" s="27" t="s">
        <v>1049</v>
      </c>
      <c r="E254" s="27" t="s">
        <v>1047</v>
      </c>
      <c r="F254" s="27" t="s">
        <v>1033</v>
      </c>
    </row>
    <row r="255" spans="1:6">
      <c r="A255" s="30">
        <v>46276</v>
      </c>
      <c r="B255" s="27">
        <v>2026</v>
      </c>
      <c r="C255" s="27">
        <v>9</v>
      </c>
      <c r="D255" s="27" t="s">
        <v>1049</v>
      </c>
      <c r="E255" s="27" t="s">
        <v>1047</v>
      </c>
      <c r="F255" s="27" t="s">
        <v>1034</v>
      </c>
    </row>
    <row r="256" spans="1:6">
      <c r="A256" s="30">
        <v>46277</v>
      </c>
      <c r="B256" s="27">
        <v>2026</v>
      </c>
      <c r="C256" s="27">
        <v>9</v>
      </c>
      <c r="D256" s="27" t="s">
        <v>1049</v>
      </c>
      <c r="E256" s="27" t="s">
        <v>1047</v>
      </c>
      <c r="F256" s="27" t="s">
        <v>1035</v>
      </c>
    </row>
    <row r="257" spans="1:6">
      <c r="A257" s="30">
        <v>46278</v>
      </c>
      <c r="B257" s="27">
        <v>2026</v>
      </c>
      <c r="C257" s="27">
        <v>9</v>
      </c>
      <c r="D257" s="27" t="s">
        <v>1049</v>
      </c>
      <c r="E257" s="27" t="s">
        <v>1047</v>
      </c>
      <c r="F257" s="27" t="s">
        <v>1036</v>
      </c>
    </row>
    <row r="258" spans="1:6">
      <c r="A258" s="30">
        <v>46279</v>
      </c>
      <c r="B258" s="27">
        <v>2026</v>
      </c>
      <c r="C258" s="27">
        <v>9</v>
      </c>
      <c r="D258" s="27" t="s">
        <v>1049</v>
      </c>
      <c r="E258" s="27" t="s">
        <v>1047</v>
      </c>
      <c r="F258" s="27" t="s">
        <v>1037</v>
      </c>
    </row>
    <row r="259" spans="1:6">
      <c r="A259" s="30">
        <v>46280</v>
      </c>
      <c r="B259" s="27">
        <v>2026</v>
      </c>
      <c r="C259" s="27">
        <v>9</v>
      </c>
      <c r="D259" s="27" t="s">
        <v>1049</v>
      </c>
      <c r="E259" s="27" t="s">
        <v>1047</v>
      </c>
      <c r="F259" s="27" t="s">
        <v>1038</v>
      </c>
    </row>
    <row r="260" spans="1:6">
      <c r="A260" s="30">
        <v>46281</v>
      </c>
      <c r="B260" s="27">
        <v>2026</v>
      </c>
      <c r="C260" s="27">
        <v>9</v>
      </c>
      <c r="D260" s="27" t="s">
        <v>1049</v>
      </c>
      <c r="E260" s="27" t="s">
        <v>1047</v>
      </c>
      <c r="F260" s="27" t="s">
        <v>1039</v>
      </c>
    </row>
    <row r="261" spans="1:6">
      <c r="A261" s="30">
        <v>46282</v>
      </c>
      <c r="B261" s="27">
        <v>2026</v>
      </c>
      <c r="C261" s="27">
        <v>9</v>
      </c>
      <c r="D261" s="27" t="s">
        <v>1049</v>
      </c>
      <c r="E261" s="27" t="s">
        <v>1047</v>
      </c>
      <c r="F261" s="27" t="s">
        <v>1033</v>
      </c>
    </row>
    <row r="262" spans="1:6">
      <c r="A262" s="30">
        <v>46283</v>
      </c>
      <c r="B262" s="27">
        <v>2026</v>
      </c>
      <c r="C262" s="27">
        <v>9</v>
      </c>
      <c r="D262" s="27" t="s">
        <v>1049</v>
      </c>
      <c r="E262" s="27" t="s">
        <v>1047</v>
      </c>
      <c r="F262" s="27" t="s">
        <v>1034</v>
      </c>
    </row>
    <row r="263" spans="1:6">
      <c r="A263" s="30">
        <v>46284</v>
      </c>
      <c r="B263" s="27">
        <v>2026</v>
      </c>
      <c r="C263" s="27">
        <v>9</v>
      </c>
      <c r="D263" s="27" t="s">
        <v>1049</v>
      </c>
      <c r="E263" s="27" t="s">
        <v>1047</v>
      </c>
      <c r="F263" s="27" t="s">
        <v>1035</v>
      </c>
    </row>
    <row r="264" spans="1:6">
      <c r="A264" s="30">
        <v>46285</v>
      </c>
      <c r="B264" s="27">
        <v>2026</v>
      </c>
      <c r="C264" s="27">
        <v>9</v>
      </c>
      <c r="D264" s="27" t="s">
        <v>1049</v>
      </c>
      <c r="E264" s="27" t="s">
        <v>1047</v>
      </c>
      <c r="F264" s="27" t="s">
        <v>1036</v>
      </c>
    </row>
    <row r="265" spans="1:6">
      <c r="A265" s="30">
        <v>46286</v>
      </c>
      <c r="B265" s="27">
        <v>2026</v>
      </c>
      <c r="C265" s="27">
        <v>9</v>
      </c>
      <c r="D265" s="27" t="s">
        <v>1049</v>
      </c>
      <c r="E265" s="27" t="s">
        <v>1047</v>
      </c>
      <c r="F265" s="27" t="s">
        <v>1037</v>
      </c>
    </row>
    <row r="266" spans="1:6">
      <c r="A266" s="30">
        <v>46287</v>
      </c>
      <c r="B266" s="27">
        <v>2026</v>
      </c>
      <c r="C266" s="27">
        <v>9</v>
      </c>
      <c r="D266" s="27" t="s">
        <v>1049</v>
      </c>
      <c r="E266" s="27" t="s">
        <v>1047</v>
      </c>
      <c r="F266" s="27" t="s">
        <v>1038</v>
      </c>
    </row>
    <row r="267" spans="1:6">
      <c r="A267" s="30">
        <v>46288</v>
      </c>
      <c r="B267" s="27">
        <v>2026</v>
      </c>
      <c r="C267" s="27">
        <v>9</v>
      </c>
      <c r="D267" s="27" t="s">
        <v>1049</v>
      </c>
      <c r="E267" s="27" t="s">
        <v>1047</v>
      </c>
      <c r="F267" s="27" t="s">
        <v>1039</v>
      </c>
    </row>
    <row r="268" spans="1:6">
      <c r="A268" s="30">
        <v>46289</v>
      </c>
      <c r="B268" s="27">
        <v>2026</v>
      </c>
      <c r="C268" s="27">
        <v>9</v>
      </c>
      <c r="D268" s="27" t="s">
        <v>1049</v>
      </c>
      <c r="E268" s="27" t="s">
        <v>1047</v>
      </c>
      <c r="F268" s="27" t="s">
        <v>1033</v>
      </c>
    </row>
    <row r="269" spans="1:6">
      <c r="A269" s="30">
        <v>46290</v>
      </c>
      <c r="B269" s="27">
        <v>2026</v>
      </c>
      <c r="C269" s="27">
        <v>9</v>
      </c>
      <c r="D269" s="27" t="s">
        <v>1049</v>
      </c>
      <c r="E269" s="27" t="s">
        <v>1047</v>
      </c>
      <c r="F269" s="27" t="s">
        <v>1034</v>
      </c>
    </row>
    <row r="270" spans="1:6">
      <c r="A270" s="30">
        <v>46291</v>
      </c>
      <c r="B270" s="27">
        <v>2026</v>
      </c>
      <c r="C270" s="27">
        <v>9</v>
      </c>
      <c r="D270" s="27" t="s">
        <v>1049</v>
      </c>
      <c r="E270" s="27" t="s">
        <v>1047</v>
      </c>
      <c r="F270" s="27" t="s">
        <v>1035</v>
      </c>
    </row>
    <row r="271" spans="1:6">
      <c r="A271" s="30">
        <v>46292</v>
      </c>
      <c r="B271" s="27">
        <v>2026</v>
      </c>
      <c r="C271" s="27">
        <v>9</v>
      </c>
      <c r="D271" s="27" t="s">
        <v>1049</v>
      </c>
      <c r="E271" s="27" t="s">
        <v>1047</v>
      </c>
      <c r="F271" s="27" t="s">
        <v>1036</v>
      </c>
    </row>
    <row r="272" spans="1:6">
      <c r="A272" s="30">
        <v>46293</v>
      </c>
      <c r="B272" s="27">
        <v>2026</v>
      </c>
      <c r="C272" s="27">
        <v>9</v>
      </c>
      <c r="D272" s="27" t="s">
        <v>1049</v>
      </c>
      <c r="E272" s="27" t="s">
        <v>1047</v>
      </c>
      <c r="F272" s="27" t="s">
        <v>1037</v>
      </c>
    </row>
    <row r="273" spans="1:6">
      <c r="A273" s="30">
        <v>46294</v>
      </c>
      <c r="B273" s="27">
        <v>2026</v>
      </c>
      <c r="C273" s="27">
        <v>9</v>
      </c>
      <c r="D273" s="27" t="s">
        <v>1049</v>
      </c>
      <c r="E273" s="27" t="s">
        <v>1047</v>
      </c>
      <c r="F273" s="27" t="s">
        <v>1038</v>
      </c>
    </row>
    <row r="274" spans="1:6">
      <c r="A274" s="30">
        <v>46295</v>
      </c>
      <c r="B274" s="27">
        <v>2026</v>
      </c>
      <c r="C274" s="27">
        <v>9</v>
      </c>
      <c r="D274" s="27" t="s">
        <v>1049</v>
      </c>
      <c r="E274" s="27" t="s">
        <v>1047</v>
      </c>
      <c r="F274" s="27" t="s">
        <v>1039</v>
      </c>
    </row>
    <row r="275" spans="1:6">
      <c r="A275" s="30">
        <v>46296</v>
      </c>
      <c r="B275" s="27">
        <v>2026</v>
      </c>
      <c r="C275" s="27">
        <v>10</v>
      </c>
      <c r="D275" s="27" t="s">
        <v>1050</v>
      </c>
      <c r="E275" s="27" t="s">
        <v>1051</v>
      </c>
      <c r="F275" s="27" t="s">
        <v>1033</v>
      </c>
    </row>
    <row r="276" spans="1:6">
      <c r="A276" s="30">
        <v>46297</v>
      </c>
      <c r="B276" s="27">
        <v>2026</v>
      </c>
      <c r="C276" s="27">
        <v>10</v>
      </c>
      <c r="D276" s="27" t="s">
        <v>1050</v>
      </c>
      <c r="E276" s="27" t="s">
        <v>1051</v>
      </c>
      <c r="F276" s="27" t="s">
        <v>1034</v>
      </c>
    </row>
    <row r="277" spans="1:6">
      <c r="A277" s="30">
        <v>46298</v>
      </c>
      <c r="B277" s="27">
        <v>2026</v>
      </c>
      <c r="C277" s="27">
        <v>10</v>
      </c>
      <c r="D277" s="27" t="s">
        <v>1050</v>
      </c>
      <c r="E277" s="27" t="s">
        <v>1051</v>
      </c>
      <c r="F277" s="27" t="s">
        <v>1035</v>
      </c>
    </row>
    <row r="278" spans="1:6">
      <c r="A278" s="30">
        <v>46299</v>
      </c>
      <c r="B278" s="27">
        <v>2026</v>
      </c>
      <c r="C278" s="27">
        <v>10</v>
      </c>
      <c r="D278" s="27" t="s">
        <v>1050</v>
      </c>
      <c r="E278" s="27" t="s">
        <v>1051</v>
      </c>
      <c r="F278" s="27" t="s">
        <v>1036</v>
      </c>
    </row>
    <row r="279" spans="1:6">
      <c r="A279" s="30">
        <v>46300</v>
      </c>
      <c r="B279" s="27">
        <v>2026</v>
      </c>
      <c r="C279" s="27">
        <v>10</v>
      </c>
      <c r="D279" s="27" t="s">
        <v>1050</v>
      </c>
      <c r="E279" s="27" t="s">
        <v>1051</v>
      </c>
      <c r="F279" s="27" t="s">
        <v>1037</v>
      </c>
    </row>
    <row r="280" spans="1:6">
      <c r="A280" s="30">
        <v>46301</v>
      </c>
      <c r="B280" s="27">
        <v>2026</v>
      </c>
      <c r="C280" s="27">
        <v>10</v>
      </c>
      <c r="D280" s="27" t="s">
        <v>1050</v>
      </c>
      <c r="E280" s="27" t="s">
        <v>1051</v>
      </c>
      <c r="F280" s="27" t="s">
        <v>1038</v>
      </c>
    </row>
    <row r="281" spans="1:6">
      <c r="A281" s="30">
        <v>46302</v>
      </c>
      <c r="B281" s="27">
        <v>2026</v>
      </c>
      <c r="C281" s="27">
        <v>10</v>
      </c>
      <c r="D281" s="27" t="s">
        <v>1050</v>
      </c>
      <c r="E281" s="27" t="s">
        <v>1051</v>
      </c>
      <c r="F281" s="27" t="s">
        <v>1039</v>
      </c>
    </row>
    <row r="282" spans="1:6">
      <c r="A282" s="30">
        <v>46303</v>
      </c>
      <c r="B282" s="27">
        <v>2026</v>
      </c>
      <c r="C282" s="27">
        <v>10</v>
      </c>
      <c r="D282" s="27" t="s">
        <v>1050</v>
      </c>
      <c r="E282" s="27" t="s">
        <v>1051</v>
      </c>
      <c r="F282" s="27" t="s">
        <v>1033</v>
      </c>
    </row>
    <row r="283" spans="1:6">
      <c r="A283" s="30">
        <v>46304</v>
      </c>
      <c r="B283" s="27">
        <v>2026</v>
      </c>
      <c r="C283" s="27">
        <v>10</v>
      </c>
      <c r="D283" s="27" t="s">
        <v>1050</v>
      </c>
      <c r="E283" s="27" t="s">
        <v>1051</v>
      </c>
      <c r="F283" s="27" t="s">
        <v>1034</v>
      </c>
    </row>
    <row r="284" spans="1:6">
      <c r="A284" s="30">
        <v>46305</v>
      </c>
      <c r="B284" s="27">
        <v>2026</v>
      </c>
      <c r="C284" s="27">
        <v>10</v>
      </c>
      <c r="D284" s="27" t="s">
        <v>1050</v>
      </c>
      <c r="E284" s="27" t="s">
        <v>1051</v>
      </c>
      <c r="F284" s="27" t="s">
        <v>1035</v>
      </c>
    </row>
    <row r="285" spans="1:6">
      <c r="A285" s="30">
        <v>46306</v>
      </c>
      <c r="B285" s="27">
        <v>2026</v>
      </c>
      <c r="C285" s="27">
        <v>10</v>
      </c>
      <c r="D285" s="27" t="s">
        <v>1050</v>
      </c>
      <c r="E285" s="27" t="s">
        <v>1051</v>
      </c>
      <c r="F285" s="27" t="s">
        <v>1036</v>
      </c>
    </row>
    <row r="286" spans="1:6">
      <c r="A286" s="30">
        <v>46307</v>
      </c>
      <c r="B286" s="27">
        <v>2026</v>
      </c>
      <c r="C286" s="27">
        <v>10</v>
      </c>
      <c r="D286" s="27" t="s">
        <v>1050</v>
      </c>
      <c r="E286" s="27" t="s">
        <v>1051</v>
      </c>
      <c r="F286" s="27" t="s">
        <v>1037</v>
      </c>
    </row>
    <row r="287" spans="1:6">
      <c r="A287" s="30">
        <v>46308</v>
      </c>
      <c r="B287" s="27">
        <v>2026</v>
      </c>
      <c r="C287" s="27">
        <v>10</v>
      </c>
      <c r="D287" s="27" t="s">
        <v>1050</v>
      </c>
      <c r="E287" s="27" t="s">
        <v>1051</v>
      </c>
      <c r="F287" s="27" t="s">
        <v>1038</v>
      </c>
    </row>
    <row r="288" spans="1:6">
      <c r="A288" s="30">
        <v>46309</v>
      </c>
      <c r="B288" s="27">
        <v>2026</v>
      </c>
      <c r="C288" s="27">
        <v>10</v>
      </c>
      <c r="D288" s="27" t="s">
        <v>1050</v>
      </c>
      <c r="E288" s="27" t="s">
        <v>1051</v>
      </c>
      <c r="F288" s="27" t="s">
        <v>1039</v>
      </c>
    </row>
    <row r="289" spans="1:6">
      <c r="A289" s="30">
        <v>46310</v>
      </c>
      <c r="B289" s="27">
        <v>2026</v>
      </c>
      <c r="C289" s="27">
        <v>10</v>
      </c>
      <c r="D289" s="27" t="s">
        <v>1050</v>
      </c>
      <c r="E289" s="27" t="s">
        <v>1051</v>
      </c>
      <c r="F289" s="27" t="s">
        <v>1033</v>
      </c>
    </row>
    <row r="290" spans="1:6">
      <c r="A290" s="30">
        <v>46311</v>
      </c>
      <c r="B290" s="27">
        <v>2026</v>
      </c>
      <c r="C290" s="27">
        <v>10</v>
      </c>
      <c r="D290" s="27" t="s">
        <v>1050</v>
      </c>
      <c r="E290" s="27" t="s">
        <v>1051</v>
      </c>
      <c r="F290" s="27" t="s">
        <v>1034</v>
      </c>
    </row>
    <row r="291" spans="1:6">
      <c r="A291" s="30">
        <v>46312</v>
      </c>
      <c r="B291" s="27">
        <v>2026</v>
      </c>
      <c r="C291" s="27">
        <v>10</v>
      </c>
      <c r="D291" s="27" t="s">
        <v>1050</v>
      </c>
      <c r="E291" s="27" t="s">
        <v>1051</v>
      </c>
      <c r="F291" s="27" t="s">
        <v>1035</v>
      </c>
    </row>
    <row r="292" spans="1:6">
      <c r="A292" s="30">
        <v>46313</v>
      </c>
      <c r="B292" s="27">
        <v>2026</v>
      </c>
      <c r="C292" s="27">
        <v>10</v>
      </c>
      <c r="D292" s="27" t="s">
        <v>1050</v>
      </c>
      <c r="E292" s="27" t="s">
        <v>1051</v>
      </c>
      <c r="F292" s="27" t="s">
        <v>1036</v>
      </c>
    </row>
    <row r="293" spans="1:6">
      <c r="A293" s="30">
        <v>46314</v>
      </c>
      <c r="B293" s="27">
        <v>2026</v>
      </c>
      <c r="C293" s="27">
        <v>10</v>
      </c>
      <c r="D293" s="27" t="s">
        <v>1050</v>
      </c>
      <c r="E293" s="27" t="s">
        <v>1051</v>
      </c>
      <c r="F293" s="27" t="s">
        <v>1037</v>
      </c>
    </row>
    <row r="294" spans="1:6">
      <c r="A294" s="30">
        <v>46315</v>
      </c>
      <c r="B294" s="27">
        <v>2026</v>
      </c>
      <c r="C294" s="27">
        <v>10</v>
      </c>
      <c r="D294" s="27" t="s">
        <v>1050</v>
      </c>
      <c r="E294" s="27" t="s">
        <v>1051</v>
      </c>
      <c r="F294" s="27" t="s">
        <v>1038</v>
      </c>
    </row>
    <row r="295" spans="1:6">
      <c r="A295" s="30">
        <v>46316</v>
      </c>
      <c r="B295" s="27">
        <v>2026</v>
      </c>
      <c r="C295" s="27">
        <v>10</v>
      </c>
      <c r="D295" s="27" t="s">
        <v>1050</v>
      </c>
      <c r="E295" s="27" t="s">
        <v>1051</v>
      </c>
      <c r="F295" s="27" t="s">
        <v>1039</v>
      </c>
    </row>
    <row r="296" spans="1:6">
      <c r="A296" s="30">
        <v>46317</v>
      </c>
      <c r="B296" s="27">
        <v>2026</v>
      </c>
      <c r="C296" s="27">
        <v>10</v>
      </c>
      <c r="D296" s="27" t="s">
        <v>1050</v>
      </c>
      <c r="E296" s="27" t="s">
        <v>1051</v>
      </c>
      <c r="F296" s="27" t="s">
        <v>1033</v>
      </c>
    </row>
    <row r="297" spans="1:6">
      <c r="A297" s="30">
        <v>46318</v>
      </c>
      <c r="B297" s="27">
        <v>2026</v>
      </c>
      <c r="C297" s="27">
        <v>10</v>
      </c>
      <c r="D297" s="27" t="s">
        <v>1050</v>
      </c>
      <c r="E297" s="27" t="s">
        <v>1051</v>
      </c>
      <c r="F297" s="27" t="s">
        <v>1034</v>
      </c>
    </row>
    <row r="298" spans="1:6">
      <c r="A298" s="30">
        <v>46319</v>
      </c>
      <c r="B298" s="27">
        <v>2026</v>
      </c>
      <c r="C298" s="27">
        <v>10</v>
      </c>
      <c r="D298" s="27" t="s">
        <v>1050</v>
      </c>
      <c r="E298" s="27" t="s">
        <v>1051</v>
      </c>
      <c r="F298" s="27" t="s">
        <v>1035</v>
      </c>
    </row>
    <row r="299" spans="1:6">
      <c r="A299" s="30">
        <v>46320</v>
      </c>
      <c r="B299" s="27">
        <v>2026</v>
      </c>
      <c r="C299" s="27">
        <v>10</v>
      </c>
      <c r="D299" s="27" t="s">
        <v>1050</v>
      </c>
      <c r="E299" s="27" t="s">
        <v>1051</v>
      </c>
      <c r="F299" s="27" t="s">
        <v>1036</v>
      </c>
    </row>
    <row r="300" spans="1:6">
      <c r="A300" s="30">
        <v>46321</v>
      </c>
      <c r="B300" s="27">
        <v>2026</v>
      </c>
      <c r="C300" s="27">
        <v>10</v>
      </c>
      <c r="D300" s="27" t="s">
        <v>1050</v>
      </c>
      <c r="E300" s="27" t="s">
        <v>1051</v>
      </c>
      <c r="F300" s="27" t="s">
        <v>1037</v>
      </c>
    </row>
    <row r="301" spans="1:6">
      <c r="A301" s="30">
        <v>46322</v>
      </c>
      <c r="B301" s="27">
        <v>2026</v>
      </c>
      <c r="C301" s="27">
        <v>10</v>
      </c>
      <c r="D301" s="27" t="s">
        <v>1050</v>
      </c>
      <c r="E301" s="27" t="s">
        <v>1051</v>
      </c>
      <c r="F301" s="27" t="s">
        <v>1038</v>
      </c>
    </row>
    <row r="302" spans="1:6">
      <c r="A302" s="30">
        <v>46323</v>
      </c>
      <c r="B302" s="27">
        <v>2026</v>
      </c>
      <c r="C302" s="27">
        <v>10</v>
      </c>
      <c r="D302" s="27" t="s">
        <v>1050</v>
      </c>
      <c r="E302" s="27" t="s">
        <v>1051</v>
      </c>
      <c r="F302" s="27" t="s">
        <v>1039</v>
      </c>
    </row>
    <row r="303" spans="1:6">
      <c r="A303" s="30">
        <v>46324</v>
      </c>
      <c r="B303" s="27">
        <v>2026</v>
      </c>
      <c r="C303" s="27">
        <v>10</v>
      </c>
      <c r="D303" s="27" t="s">
        <v>1050</v>
      </c>
      <c r="E303" s="27" t="s">
        <v>1051</v>
      </c>
      <c r="F303" s="27" t="s">
        <v>1033</v>
      </c>
    </row>
    <row r="304" spans="1:6">
      <c r="A304" s="30">
        <v>46325</v>
      </c>
      <c r="B304" s="27">
        <v>2026</v>
      </c>
      <c r="C304" s="27">
        <v>10</v>
      </c>
      <c r="D304" s="27" t="s">
        <v>1050</v>
      </c>
      <c r="E304" s="27" t="s">
        <v>1051</v>
      </c>
      <c r="F304" s="27" t="s">
        <v>1034</v>
      </c>
    </row>
    <row r="305" spans="1:6">
      <c r="A305" s="30">
        <v>46326</v>
      </c>
      <c r="B305" s="27">
        <v>2026</v>
      </c>
      <c r="C305" s="27">
        <v>10</v>
      </c>
      <c r="D305" s="27" t="s">
        <v>1050</v>
      </c>
      <c r="E305" s="27" t="s">
        <v>1051</v>
      </c>
      <c r="F305" s="27" t="s">
        <v>1035</v>
      </c>
    </row>
    <row r="306" spans="1:6">
      <c r="A306" s="30">
        <v>46327</v>
      </c>
      <c r="B306" s="27">
        <v>2026</v>
      </c>
      <c r="C306" s="27">
        <v>11</v>
      </c>
      <c r="D306" s="27" t="s">
        <v>1052</v>
      </c>
      <c r="E306" s="27" t="s">
        <v>1051</v>
      </c>
      <c r="F306" s="27" t="s">
        <v>1036</v>
      </c>
    </row>
    <row r="307" spans="1:6">
      <c r="A307" s="30">
        <v>46328</v>
      </c>
      <c r="B307" s="27">
        <v>2026</v>
      </c>
      <c r="C307" s="27">
        <v>11</v>
      </c>
      <c r="D307" s="27" t="s">
        <v>1052</v>
      </c>
      <c r="E307" s="27" t="s">
        <v>1051</v>
      </c>
      <c r="F307" s="27" t="s">
        <v>1037</v>
      </c>
    </row>
    <row r="308" spans="1:6">
      <c r="A308" s="30">
        <v>46329</v>
      </c>
      <c r="B308" s="27">
        <v>2026</v>
      </c>
      <c r="C308" s="27">
        <v>11</v>
      </c>
      <c r="D308" s="27" t="s">
        <v>1052</v>
      </c>
      <c r="E308" s="27" t="s">
        <v>1051</v>
      </c>
      <c r="F308" s="27" t="s">
        <v>1038</v>
      </c>
    </row>
    <row r="309" spans="1:6">
      <c r="A309" s="30">
        <v>46330</v>
      </c>
      <c r="B309" s="27">
        <v>2026</v>
      </c>
      <c r="C309" s="27">
        <v>11</v>
      </c>
      <c r="D309" s="27" t="s">
        <v>1052</v>
      </c>
      <c r="E309" s="27" t="s">
        <v>1051</v>
      </c>
      <c r="F309" s="27" t="s">
        <v>1039</v>
      </c>
    </row>
    <row r="310" spans="1:6">
      <c r="A310" s="30">
        <v>46331</v>
      </c>
      <c r="B310" s="27">
        <v>2026</v>
      </c>
      <c r="C310" s="27">
        <v>11</v>
      </c>
      <c r="D310" s="27" t="s">
        <v>1052</v>
      </c>
      <c r="E310" s="27" t="s">
        <v>1051</v>
      </c>
      <c r="F310" s="27" t="s">
        <v>1033</v>
      </c>
    </row>
    <row r="311" spans="1:6">
      <c r="A311" s="30">
        <v>46332</v>
      </c>
      <c r="B311" s="27">
        <v>2026</v>
      </c>
      <c r="C311" s="27">
        <v>11</v>
      </c>
      <c r="D311" s="27" t="s">
        <v>1052</v>
      </c>
      <c r="E311" s="27" t="s">
        <v>1051</v>
      </c>
      <c r="F311" s="27" t="s">
        <v>1034</v>
      </c>
    </row>
    <row r="312" spans="1:6">
      <c r="A312" s="30">
        <v>46333</v>
      </c>
      <c r="B312" s="27">
        <v>2026</v>
      </c>
      <c r="C312" s="27">
        <v>11</v>
      </c>
      <c r="D312" s="27" t="s">
        <v>1052</v>
      </c>
      <c r="E312" s="27" t="s">
        <v>1051</v>
      </c>
      <c r="F312" s="27" t="s">
        <v>1035</v>
      </c>
    </row>
    <row r="313" spans="1:6">
      <c r="A313" s="30">
        <v>46334</v>
      </c>
      <c r="B313" s="27">
        <v>2026</v>
      </c>
      <c r="C313" s="27">
        <v>11</v>
      </c>
      <c r="D313" s="27" t="s">
        <v>1052</v>
      </c>
      <c r="E313" s="27" t="s">
        <v>1051</v>
      </c>
      <c r="F313" s="27" t="s">
        <v>1036</v>
      </c>
    </row>
    <row r="314" spans="1:6">
      <c r="A314" s="30">
        <v>46335</v>
      </c>
      <c r="B314" s="27">
        <v>2026</v>
      </c>
      <c r="C314" s="27">
        <v>11</v>
      </c>
      <c r="D314" s="27" t="s">
        <v>1052</v>
      </c>
      <c r="E314" s="27" t="s">
        <v>1051</v>
      </c>
      <c r="F314" s="27" t="s">
        <v>1037</v>
      </c>
    </row>
    <row r="315" spans="1:6">
      <c r="A315" s="30">
        <v>46336</v>
      </c>
      <c r="B315" s="27">
        <v>2026</v>
      </c>
      <c r="C315" s="27">
        <v>11</v>
      </c>
      <c r="D315" s="27" t="s">
        <v>1052</v>
      </c>
      <c r="E315" s="27" t="s">
        <v>1051</v>
      </c>
      <c r="F315" s="27" t="s">
        <v>1038</v>
      </c>
    </row>
    <row r="316" spans="1:6">
      <c r="A316" s="30">
        <v>46337</v>
      </c>
      <c r="B316" s="27">
        <v>2026</v>
      </c>
      <c r="C316" s="27">
        <v>11</v>
      </c>
      <c r="D316" s="27" t="s">
        <v>1052</v>
      </c>
      <c r="E316" s="27" t="s">
        <v>1051</v>
      </c>
      <c r="F316" s="27" t="s">
        <v>1039</v>
      </c>
    </row>
    <row r="317" spans="1:6">
      <c r="A317" s="30">
        <v>46338</v>
      </c>
      <c r="B317" s="27">
        <v>2026</v>
      </c>
      <c r="C317" s="27">
        <v>11</v>
      </c>
      <c r="D317" s="27" t="s">
        <v>1052</v>
      </c>
      <c r="E317" s="27" t="s">
        <v>1051</v>
      </c>
      <c r="F317" s="27" t="s">
        <v>1033</v>
      </c>
    </row>
    <row r="318" spans="1:6">
      <c r="A318" s="30">
        <v>46339</v>
      </c>
      <c r="B318" s="27">
        <v>2026</v>
      </c>
      <c r="C318" s="27">
        <v>11</v>
      </c>
      <c r="D318" s="27" t="s">
        <v>1052</v>
      </c>
      <c r="E318" s="27" t="s">
        <v>1051</v>
      </c>
      <c r="F318" s="27" t="s">
        <v>1034</v>
      </c>
    </row>
    <row r="319" spans="1:6">
      <c r="A319" s="30">
        <v>46340</v>
      </c>
      <c r="B319" s="27">
        <v>2026</v>
      </c>
      <c r="C319" s="27">
        <v>11</v>
      </c>
      <c r="D319" s="27" t="s">
        <v>1052</v>
      </c>
      <c r="E319" s="27" t="s">
        <v>1051</v>
      </c>
      <c r="F319" s="27" t="s">
        <v>1035</v>
      </c>
    </row>
    <row r="320" spans="1:6">
      <c r="A320" s="30">
        <v>46341</v>
      </c>
      <c r="B320" s="27">
        <v>2026</v>
      </c>
      <c r="C320" s="27">
        <v>11</v>
      </c>
      <c r="D320" s="27" t="s">
        <v>1052</v>
      </c>
      <c r="E320" s="27" t="s">
        <v>1051</v>
      </c>
      <c r="F320" s="27" t="s">
        <v>1036</v>
      </c>
    </row>
    <row r="321" spans="1:6">
      <c r="A321" s="30">
        <v>46342</v>
      </c>
      <c r="B321" s="27">
        <v>2026</v>
      </c>
      <c r="C321" s="27">
        <v>11</v>
      </c>
      <c r="D321" s="27" t="s">
        <v>1052</v>
      </c>
      <c r="E321" s="27" t="s">
        <v>1051</v>
      </c>
      <c r="F321" s="27" t="s">
        <v>1037</v>
      </c>
    </row>
    <row r="322" spans="1:6">
      <c r="A322" s="30">
        <v>46343</v>
      </c>
      <c r="B322" s="27">
        <v>2026</v>
      </c>
      <c r="C322" s="27">
        <v>11</v>
      </c>
      <c r="D322" s="27" t="s">
        <v>1052</v>
      </c>
      <c r="E322" s="27" t="s">
        <v>1051</v>
      </c>
      <c r="F322" s="27" t="s">
        <v>1038</v>
      </c>
    </row>
    <row r="323" spans="1:6">
      <c r="A323" s="30">
        <v>46344</v>
      </c>
      <c r="B323" s="27">
        <v>2026</v>
      </c>
      <c r="C323" s="27">
        <v>11</v>
      </c>
      <c r="D323" s="27" t="s">
        <v>1052</v>
      </c>
      <c r="E323" s="27" t="s">
        <v>1051</v>
      </c>
      <c r="F323" s="27" t="s">
        <v>1039</v>
      </c>
    </row>
    <row r="324" spans="1:6">
      <c r="A324" s="30">
        <v>46345</v>
      </c>
      <c r="B324" s="27">
        <v>2026</v>
      </c>
      <c r="C324" s="27">
        <v>11</v>
      </c>
      <c r="D324" s="27" t="s">
        <v>1052</v>
      </c>
      <c r="E324" s="27" t="s">
        <v>1051</v>
      </c>
      <c r="F324" s="27" t="s">
        <v>1033</v>
      </c>
    </row>
    <row r="325" spans="1:6">
      <c r="A325" s="30">
        <v>46346</v>
      </c>
      <c r="B325" s="27">
        <v>2026</v>
      </c>
      <c r="C325" s="27">
        <v>11</v>
      </c>
      <c r="D325" s="27" t="s">
        <v>1052</v>
      </c>
      <c r="E325" s="27" t="s">
        <v>1051</v>
      </c>
      <c r="F325" s="27" t="s">
        <v>1034</v>
      </c>
    </row>
    <row r="326" spans="1:6">
      <c r="A326" s="30">
        <v>46347</v>
      </c>
      <c r="B326" s="27">
        <v>2026</v>
      </c>
      <c r="C326" s="27">
        <v>11</v>
      </c>
      <c r="D326" s="27" t="s">
        <v>1052</v>
      </c>
      <c r="E326" s="27" t="s">
        <v>1051</v>
      </c>
      <c r="F326" s="27" t="s">
        <v>1035</v>
      </c>
    </row>
    <row r="327" spans="1:6">
      <c r="A327" s="30">
        <v>46348</v>
      </c>
      <c r="B327" s="27">
        <v>2026</v>
      </c>
      <c r="C327" s="27">
        <v>11</v>
      </c>
      <c r="D327" s="27" t="s">
        <v>1052</v>
      </c>
      <c r="E327" s="27" t="s">
        <v>1051</v>
      </c>
      <c r="F327" s="27" t="s">
        <v>1036</v>
      </c>
    </row>
    <row r="328" spans="1:6">
      <c r="A328" s="30">
        <v>46349</v>
      </c>
      <c r="B328" s="27">
        <v>2026</v>
      </c>
      <c r="C328" s="27">
        <v>11</v>
      </c>
      <c r="D328" s="27" t="s">
        <v>1052</v>
      </c>
      <c r="E328" s="27" t="s">
        <v>1051</v>
      </c>
      <c r="F328" s="27" t="s">
        <v>1037</v>
      </c>
    </row>
    <row r="329" spans="1:6">
      <c r="A329" s="30">
        <v>46350</v>
      </c>
      <c r="B329" s="27">
        <v>2026</v>
      </c>
      <c r="C329" s="27">
        <v>11</v>
      </c>
      <c r="D329" s="27" t="s">
        <v>1052</v>
      </c>
      <c r="E329" s="27" t="s">
        <v>1051</v>
      </c>
      <c r="F329" s="27" t="s">
        <v>1038</v>
      </c>
    </row>
    <row r="330" spans="1:6">
      <c r="A330" s="30">
        <v>46351</v>
      </c>
      <c r="B330" s="27">
        <v>2026</v>
      </c>
      <c r="C330" s="27">
        <v>11</v>
      </c>
      <c r="D330" s="27" t="s">
        <v>1052</v>
      </c>
      <c r="E330" s="27" t="s">
        <v>1051</v>
      </c>
      <c r="F330" s="27" t="s">
        <v>1039</v>
      </c>
    </row>
    <row r="331" spans="1:6">
      <c r="A331" s="30">
        <v>46352</v>
      </c>
      <c r="B331" s="27">
        <v>2026</v>
      </c>
      <c r="C331" s="27">
        <v>11</v>
      </c>
      <c r="D331" s="27" t="s">
        <v>1052</v>
      </c>
      <c r="E331" s="27" t="s">
        <v>1051</v>
      </c>
      <c r="F331" s="27" t="s">
        <v>1033</v>
      </c>
    </row>
    <row r="332" spans="1:6">
      <c r="A332" s="30">
        <v>46353</v>
      </c>
      <c r="B332" s="27">
        <v>2026</v>
      </c>
      <c r="C332" s="27">
        <v>11</v>
      </c>
      <c r="D332" s="27" t="s">
        <v>1052</v>
      </c>
      <c r="E332" s="27" t="s">
        <v>1051</v>
      </c>
      <c r="F332" s="27" t="s">
        <v>1034</v>
      </c>
    </row>
    <row r="333" spans="1:6">
      <c r="A333" s="30">
        <v>46354</v>
      </c>
      <c r="B333" s="27">
        <v>2026</v>
      </c>
      <c r="C333" s="27">
        <v>11</v>
      </c>
      <c r="D333" s="27" t="s">
        <v>1052</v>
      </c>
      <c r="E333" s="27" t="s">
        <v>1051</v>
      </c>
      <c r="F333" s="27" t="s">
        <v>1035</v>
      </c>
    </row>
    <row r="334" spans="1:6">
      <c r="A334" s="30">
        <v>46355</v>
      </c>
      <c r="B334" s="27">
        <v>2026</v>
      </c>
      <c r="C334" s="27">
        <v>11</v>
      </c>
      <c r="D334" s="27" t="s">
        <v>1052</v>
      </c>
      <c r="E334" s="27" t="s">
        <v>1051</v>
      </c>
      <c r="F334" s="27" t="s">
        <v>1036</v>
      </c>
    </row>
    <row r="335" spans="1:6">
      <c r="A335" s="30">
        <v>46356</v>
      </c>
      <c r="B335" s="27">
        <v>2026</v>
      </c>
      <c r="C335" s="27">
        <v>11</v>
      </c>
      <c r="D335" s="27" t="s">
        <v>1052</v>
      </c>
      <c r="E335" s="27" t="s">
        <v>1051</v>
      </c>
      <c r="F335" s="27" t="s">
        <v>1037</v>
      </c>
    </row>
    <row r="336" spans="1:6">
      <c r="A336" s="30">
        <v>46357</v>
      </c>
      <c r="B336" s="27">
        <v>2026</v>
      </c>
      <c r="C336" s="27">
        <v>12</v>
      </c>
      <c r="D336" s="27" t="s">
        <v>1053</v>
      </c>
      <c r="E336" s="27" t="s">
        <v>1051</v>
      </c>
      <c r="F336" s="27" t="s">
        <v>1038</v>
      </c>
    </row>
    <row r="337" spans="1:6">
      <c r="A337" s="30">
        <v>46358</v>
      </c>
      <c r="B337" s="27">
        <v>2026</v>
      </c>
      <c r="C337" s="27">
        <v>12</v>
      </c>
      <c r="D337" s="27" t="s">
        <v>1053</v>
      </c>
      <c r="E337" s="27" t="s">
        <v>1051</v>
      </c>
      <c r="F337" s="27" t="s">
        <v>1039</v>
      </c>
    </row>
    <row r="338" spans="1:6">
      <c r="A338" s="30">
        <v>46359</v>
      </c>
      <c r="B338" s="27">
        <v>2026</v>
      </c>
      <c r="C338" s="27">
        <v>12</v>
      </c>
      <c r="D338" s="27" t="s">
        <v>1053</v>
      </c>
      <c r="E338" s="27" t="s">
        <v>1051</v>
      </c>
      <c r="F338" s="27" t="s">
        <v>1033</v>
      </c>
    </row>
    <row r="339" spans="1:6">
      <c r="A339" s="30">
        <v>46360</v>
      </c>
      <c r="B339" s="27">
        <v>2026</v>
      </c>
      <c r="C339" s="27">
        <v>12</v>
      </c>
      <c r="D339" s="27" t="s">
        <v>1053</v>
      </c>
      <c r="E339" s="27" t="s">
        <v>1051</v>
      </c>
      <c r="F339" s="27" t="s">
        <v>1034</v>
      </c>
    </row>
    <row r="340" spans="1:6">
      <c r="A340" s="30">
        <v>46361</v>
      </c>
      <c r="B340" s="27">
        <v>2026</v>
      </c>
      <c r="C340" s="27">
        <v>12</v>
      </c>
      <c r="D340" s="27" t="s">
        <v>1053</v>
      </c>
      <c r="E340" s="27" t="s">
        <v>1051</v>
      </c>
      <c r="F340" s="27" t="s">
        <v>1035</v>
      </c>
    </row>
    <row r="341" spans="1:6">
      <c r="A341" s="30">
        <v>46362</v>
      </c>
      <c r="B341" s="27">
        <v>2026</v>
      </c>
      <c r="C341" s="27">
        <v>12</v>
      </c>
      <c r="D341" s="27" t="s">
        <v>1053</v>
      </c>
      <c r="E341" s="27" t="s">
        <v>1051</v>
      </c>
      <c r="F341" s="27" t="s">
        <v>1036</v>
      </c>
    </row>
    <row r="342" spans="1:6">
      <c r="A342" s="30">
        <v>46363</v>
      </c>
      <c r="B342" s="27">
        <v>2026</v>
      </c>
      <c r="C342" s="27">
        <v>12</v>
      </c>
      <c r="D342" s="27" t="s">
        <v>1053</v>
      </c>
      <c r="E342" s="27" t="s">
        <v>1051</v>
      </c>
      <c r="F342" s="27" t="s">
        <v>1037</v>
      </c>
    </row>
    <row r="343" spans="1:6">
      <c r="A343" s="30">
        <v>46364</v>
      </c>
      <c r="B343" s="27">
        <v>2026</v>
      </c>
      <c r="C343" s="27">
        <v>12</v>
      </c>
      <c r="D343" s="27" t="s">
        <v>1053</v>
      </c>
      <c r="E343" s="27" t="s">
        <v>1051</v>
      </c>
      <c r="F343" s="27" t="s">
        <v>1038</v>
      </c>
    </row>
    <row r="344" spans="1:6">
      <c r="A344" s="30">
        <v>46365</v>
      </c>
      <c r="B344" s="27">
        <v>2026</v>
      </c>
      <c r="C344" s="27">
        <v>12</v>
      </c>
      <c r="D344" s="27" t="s">
        <v>1053</v>
      </c>
      <c r="E344" s="27" t="s">
        <v>1051</v>
      </c>
      <c r="F344" s="27" t="s">
        <v>1039</v>
      </c>
    </row>
    <row r="345" spans="1:6">
      <c r="A345" s="30">
        <v>46366</v>
      </c>
      <c r="B345" s="27">
        <v>2026</v>
      </c>
      <c r="C345" s="27">
        <v>12</v>
      </c>
      <c r="D345" s="27" t="s">
        <v>1053</v>
      </c>
      <c r="E345" s="27" t="s">
        <v>1051</v>
      </c>
      <c r="F345" s="27" t="s">
        <v>1033</v>
      </c>
    </row>
    <row r="346" spans="1:6">
      <c r="A346" s="30">
        <v>46367</v>
      </c>
      <c r="B346" s="27">
        <v>2026</v>
      </c>
      <c r="C346" s="27">
        <v>12</v>
      </c>
      <c r="D346" s="27" t="s">
        <v>1053</v>
      </c>
      <c r="E346" s="27" t="s">
        <v>1051</v>
      </c>
      <c r="F346" s="27" t="s">
        <v>1034</v>
      </c>
    </row>
    <row r="347" spans="1:6">
      <c r="A347" s="30">
        <v>46368</v>
      </c>
      <c r="B347" s="27">
        <v>2026</v>
      </c>
      <c r="C347" s="27">
        <v>12</v>
      </c>
      <c r="D347" s="27" t="s">
        <v>1053</v>
      </c>
      <c r="E347" s="27" t="s">
        <v>1051</v>
      </c>
      <c r="F347" s="27" t="s">
        <v>1035</v>
      </c>
    </row>
    <row r="348" spans="1:6">
      <c r="A348" s="30">
        <v>46369</v>
      </c>
      <c r="B348" s="27">
        <v>2026</v>
      </c>
      <c r="C348" s="27">
        <v>12</v>
      </c>
      <c r="D348" s="27" t="s">
        <v>1053</v>
      </c>
      <c r="E348" s="27" t="s">
        <v>1051</v>
      </c>
      <c r="F348" s="27" t="s">
        <v>1036</v>
      </c>
    </row>
    <row r="349" spans="1:6">
      <c r="A349" s="30">
        <v>46370</v>
      </c>
      <c r="B349" s="27">
        <v>2026</v>
      </c>
      <c r="C349" s="27">
        <v>12</v>
      </c>
      <c r="D349" s="27" t="s">
        <v>1053</v>
      </c>
      <c r="E349" s="27" t="s">
        <v>1051</v>
      </c>
      <c r="F349" s="27" t="s">
        <v>1037</v>
      </c>
    </row>
    <row r="350" spans="1:6">
      <c r="A350" s="30">
        <v>46371</v>
      </c>
      <c r="B350" s="27">
        <v>2026</v>
      </c>
      <c r="C350" s="27">
        <v>12</v>
      </c>
      <c r="D350" s="27" t="s">
        <v>1053</v>
      </c>
      <c r="E350" s="27" t="s">
        <v>1051</v>
      </c>
      <c r="F350" s="27" t="s">
        <v>1038</v>
      </c>
    </row>
    <row r="351" spans="1:6">
      <c r="A351" s="30">
        <v>46372</v>
      </c>
      <c r="B351" s="27">
        <v>2026</v>
      </c>
      <c r="C351" s="27">
        <v>12</v>
      </c>
      <c r="D351" s="27" t="s">
        <v>1053</v>
      </c>
      <c r="E351" s="27" t="s">
        <v>1051</v>
      </c>
      <c r="F351" s="27" t="s">
        <v>1039</v>
      </c>
    </row>
    <row r="352" spans="1:6">
      <c r="A352" s="30">
        <v>46373</v>
      </c>
      <c r="B352" s="27">
        <v>2026</v>
      </c>
      <c r="C352" s="27">
        <v>12</v>
      </c>
      <c r="D352" s="27" t="s">
        <v>1053</v>
      </c>
      <c r="E352" s="27" t="s">
        <v>1051</v>
      </c>
      <c r="F352" s="27" t="s">
        <v>1033</v>
      </c>
    </row>
    <row r="353" spans="1:6">
      <c r="A353" s="30">
        <v>46374</v>
      </c>
      <c r="B353" s="27">
        <v>2026</v>
      </c>
      <c r="C353" s="27">
        <v>12</v>
      </c>
      <c r="D353" s="27" t="s">
        <v>1053</v>
      </c>
      <c r="E353" s="27" t="s">
        <v>1051</v>
      </c>
      <c r="F353" s="27" t="s">
        <v>1034</v>
      </c>
    </row>
    <row r="354" spans="1:6">
      <c r="A354" s="30">
        <v>46375</v>
      </c>
      <c r="B354" s="27">
        <v>2026</v>
      </c>
      <c r="C354" s="27">
        <v>12</v>
      </c>
      <c r="D354" s="27" t="s">
        <v>1053</v>
      </c>
      <c r="E354" s="27" t="s">
        <v>1051</v>
      </c>
      <c r="F354" s="27" t="s">
        <v>1035</v>
      </c>
    </row>
    <row r="355" spans="1:6">
      <c r="A355" s="30">
        <v>46376</v>
      </c>
      <c r="B355" s="27">
        <v>2026</v>
      </c>
      <c r="C355" s="27">
        <v>12</v>
      </c>
      <c r="D355" s="27" t="s">
        <v>1053</v>
      </c>
      <c r="E355" s="27" t="s">
        <v>1051</v>
      </c>
      <c r="F355" s="27" t="s">
        <v>1036</v>
      </c>
    </row>
    <row r="356" spans="1:6">
      <c r="A356" s="30">
        <v>46377</v>
      </c>
      <c r="B356" s="27">
        <v>2026</v>
      </c>
      <c r="C356" s="27">
        <v>12</v>
      </c>
      <c r="D356" s="27" t="s">
        <v>1053</v>
      </c>
      <c r="E356" s="27" t="s">
        <v>1051</v>
      </c>
      <c r="F356" s="27" t="s">
        <v>1037</v>
      </c>
    </row>
    <row r="357" spans="1:6">
      <c r="A357" s="30">
        <v>46378</v>
      </c>
      <c r="B357" s="27">
        <v>2026</v>
      </c>
      <c r="C357" s="27">
        <v>12</v>
      </c>
      <c r="D357" s="27" t="s">
        <v>1053</v>
      </c>
      <c r="E357" s="27" t="s">
        <v>1051</v>
      </c>
      <c r="F357" s="27" t="s">
        <v>1038</v>
      </c>
    </row>
    <row r="358" spans="1:6">
      <c r="A358" s="30">
        <v>46379</v>
      </c>
      <c r="B358" s="27">
        <v>2026</v>
      </c>
      <c r="C358" s="27">
        <v>12</v>
      </c>
      <c r="D358" s="27" t="s">
        <v>1053</v>
      </c>
      <c r="E358" s="27" t="s">
        <v>1051</v>
      </c>
      <c r="F358" s="27" t="s">
        <v>1039</v>
      </c>
    </row>
    <row r="359" spans="1:6">
      <c r="A359" s="30">
        <v>46380</v>
      </c>
      <c r="B359" s="27">
        <v>2026</v>
      </c>
      <c r="C359" s="27">
        <v>12</v>
      </c>
      <c r="D359" s="27" t="s">
        <v>1053</v>
      </c>
      <c r="E359" s="27" t="s">
        <v>1051</v>
      </c>
      <c r="F359" s="27" t="s">
        <v>1033</v>
      </c>
    </row>
    <row r="360" spans="1:6">
      <c r="A360" s="30">
        <v>46381</v>
      </c>
      <c r="B360" s="27">
        <v>2026</v>
      </c>
      <c r="C360" s="27">
        <v>12</v>
      </c>
      <c r="D360" s="27" t="s">
        <v>1053</v>
      </c>
      <c r="E360" s="27" t="s">
        <v>1051</v>
      </c>
      <c r="F360" s="27" t="s">
        <v>1034</v>
      </c>
    </row>
    <row r="361" spans="1:6">
      <c r="A361" s="30">
        <v>46382</v>
      </c>
      <c r="B361" s="27">
        <v>2026</v>
      </c>
      <c r="C361" s="27">
        <v>12</v>
      </c>
      <c r="D361" s="27" t="s">
        <v>1053</v>
      </c>
      <c r="E361" s="27" t="s">
        <v>1051</v>
      </c>
      <c r="F361" s="27" t="s">
        <v>1035</v>
      </c>
    </row>
    <row r="362" spans="1:6">
      <c r="A362" s="30">
        <v>46383</v>
      </c>
      <c r="B362" s="27">
        <v>2026</v>
      </c>
      <c r="C362" s="27">
        <v>12</v>
      </c>
      <c r="D362" s="27" t="s">
        <v>1053</v>
      </c>
      <c r="E362" s="27" t="s">
        <v>1051</v>
      </c>
      <c r="F362" s="27" t="s">
        <v>1036</v>
      </c>
    </row>
    <row r="363" spans="1:6">
      <c r="A363" s="30">
        <v>46384</v>
      </c>
      <c r="B363" s="27">
        <v>2026</v>
      </c>
      <c r="C363" s="27">
        <v>12</v>
      </c>
      <c r="D363" s="27" t="s">
        <v>1053</v>
      </c>
      <c r="E363" s="27" t="s">
        <v>1051</v>
      </c>
      <c r="F363" s="27" t="s">
        <v>1037</v>
      </c>
    </row>
    <row r="364" spans="1:6">
      <c r="A364" s="30">
        <v>46385</v>
      </c>
      <c r="B364" s="27">
        <v>2026</v>
      </c>
      <c r="C364" s="27">
        <v>12</v>
      </c>
      <c r="D364" s="27" t="s">
        <v>1053</v>
      </c>
      <c r="E364" s="27" t="s">
        <v>1051</v>
      </c>
      <c r="F364" s="27" t="s">
        <v>1038</v>
      </c>
    </row>
    <row r="365" spans="1:6">
      <c r="A365" s="30">
        <v>46386</v>
      </c>
      <c r="B365" s="27">
        <v>2026</v>
      </c>
      <c r="C365" s="27">
        <v>12</v>
      </c>
      <c r="D365" s="27" t="s">
        <v>1053</v>
      </c>
      <c r="E365" s="27" t="s">
        <v>1051</v>
      </c>
      <c r="F365" s="27" t="s">
        <v>1039</v>
      </c>
    </row>
    <row r="366" spans="1:6">
      <c r="A366" s="30">
        <v>46387</v>
      </c>
      <c r="B366" s="27">
        <v>2026</v>
      </c>
      <c r="C366" s="27">
        <v>12</v>
      </c>
      <c r="D366" s="27" t="s">
        <v>1053</v>
      </c>
      <c r="E366" s="27" t="s">
        <v>1051</v>
      </c>
      <c r="F366" s="27" t="s">
        <v>1033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36871D5C-6063-48FB-A798-426183CD058D}">
  <ds:schemaRefs/>
</ds:datastoreItem>
</file>

<file path=customXml/itemProps2.xml><?xml version="1.0" encoding="utf-8"?>
<ds:datastoreItem xmlns:ds="http://schemas.openxmlformats.org/officeDocument/2006/customXml" ds:itemID="{5B197CE4-4D74-430B-95E0-8A841AE89DB0}">
  <ds:schemaRefs/>
</ds:datastoreItem>
</file>

<file path=customXml/itemProps3.xml><?xml version="1.0" encoding="utf-8"?>
<ds:datastoreItem xmlns:ds="http://schemas.openxmlformats.org/officeDocument/2006/customXml" ds:itemID="{84EE9B36-6864-4908-9802-F701A46386F9}">
  <ds:schemaRefs/>
</ds:datastoreItem>
</file>

<file path=customXml/itemProps4.xml><?xml version="1.0" encoding="utf-8"?>
<ds:datastoreItem xmlns:ds="http://schemas.openxmlformats.org/officeDocument/2006/customXml" ds:itemID="{31158F55-B908-42AA-AEA5-549D87FD07AC}">
  <ds:schemaRefs/>
</ds:datastoreItem>
</file>

<file path=customXml/itemProps5.xml><?xml version="1.0" encoding="utf-8"?>
<ds:datastoreItem xmlns:ds="http://schemas.openxmlformats.org/officeDocument/2006/customXml" ds:itemID="{975270EC-D66D-4C7C-9C5E-B1979BA52AAE}">
  <ds:schemaRefs/>
</ds:datastoreItem>
</file>

<file path=customXml/itemProps6.xml><?xml version="1.0" encoding="utf-8"?>
<ds:datastoreItem xmlns:ds="http://schemas.openxmlformats.org/officeDocument/2006/customXml" ds:itemID="{A4B6DC04-D64C-45BC-99E6-3521F56CD2B3}">
  <ds:schemaRefs/>
</ds:datastoreItem>
</file>

<file path=customXml/itemProps7.xml><?xml version="1.0" encoding="utf-8"?>
<ds:datastoreItem xmlns:ds="http://schemas.openxmlformats.org/officeDocument/2006/customXml" ds:itemID="{DCB52580-E8F4-4B46-A167-552CD296BB89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990674DB-6544-4FDD-B2B4-0AEA76C8B78B}">
  <ds:schemaRefs/>
</ds:datastoreItem>
</file>

<file path=customXml/itemProps9.xml><?xml version="1.0" encoding="utf-8"?>
<ds:datastoreItem xmlns:ds="http://schemas.openxmlformats.org/officeDocument/2006/customXml" ds:itemID="{6D795935-68CF-4EAC-AA32-86DD025614D5}">
  <ds:schemaRefs/>
</ds:datastoreItem>
</file>

<file path=customXml/itemProps10.xml><?xml version="1.0" encoding="utf-8"?>
<ds:datastoreItem xmlns:ds="http://schemas.openxmlformats.org/officeDocument/2006/customXml" ds:itemID="{8923C9EF-BB0E-4674-BA93-E6869C5AFFEA}">
  <ds:schemaRefs/>
</ds:datastoreItem>
</file>

<file path=customXml/itemProps11.xml><?xml version="1.0" encoding="utf-8"?>
<ds:datastoreItem xmlns:ds="http://schemas.openxmlformats.org/officeDocument/2006/customXml" ds:itemID="{9C7CD951-7214-4101-B68B-852B25291452}">
  <ds:schemaRefs/>
</ds:datastoreItem>
</file>

<file path=customXml/itemProps12.xml><?xml version="1.0" encoding="utf-8"?>
<ds:datastoreItem xmlns:ds="http://schemas.openxmlformats.org/officeDocument/2006/customXml" ds:itemID="{3FA2EB0C-DB4B-4B0A-BC68-CD8CCC76D174}">
  <ds:schemaRefs/>
</ds:datastoreItem>
</file>

<file path=customXml/itemProps13.xml><?xml version="1.0" encoding="utf-8"?>
<ds:datastoreItem xmlns:ds="http://schemas.openxmlformats.org/officeDocument/2006/customXml" ds:itemID="{9223D33A-A883-46E0-BBC8-FF57C779D13C}">
  <ds:schemaRefs/>
</ds:datastoreItem>
</file>

<file path=customXml/itemProps14.xml><?xml version="1.0" encoding="utf-8"?>
<ds:datastoreItem xmlns:ds="http://schemas.openxmlformats.org/officeDocument/2006/customXml" ds:itemID="{33A6AACF-4222-4F8B-B1B8-878F668AB8D0}">
  <ds:schemaRefs/>
</ds:datastoreItem>
</file>

<file path=customXml/itemProps15.xml><?xml version="1.0" encoding="utf-8"?>
<ds:datastoreItem xmlns:ds="http://schemas.openxmlformats.org/officeDocument/2006/customXml" ds:itemID="{431818FE-7773-44B0-A47C-8163C274B72D}">
  <ds:schemaRefs/>
</ds:datastoreItem>
</file>

<file path=customXml/itemProps16.xml><?xml version="1.0" encoding="utf-8"?>
<ds:datastoreItem xmlns:ds="http://schemas.openxmlformats.org/officeDocument/2006/customXml" ds:itemID="{237F8D57-B316-4D46-80AF-BEBE65E812A0}">
  <ds:schemaRefs/>
</ds:datastoreItem>
</file>

<file path=customXml/itemProps17.xml><?xml version="1.0" encoding="utf-8"?>
<ds:datastoreItem xmlns:ds="http://schemas.openxmlformats.org/officeDocument/2006/customXml" ds:itemID="{BE4CD652-3BC5-4236-9B5F-C36563274EF8}">
  <ds:schemaRefs/>
</ds:datastoreItem>
</file>

<file path=customXml/itemProps18.xml><?xml version="1.0" encoding="utf-8"?>
<ds:datastoreItem xmlns:ds="http://schemas.openxmlformats.org/officeDocument/2006/customXml" ds:itemID="{301404C8-1CE0-4962-8FCE-6D12C8222FBC}">
  <ds:schemaRefs/>
</ds:datastoreItem>
</file>

<file path=customXml/itemProps19.xml><?xml version="1.0" encoding="utf-8"?>
<ds:datastoreItem xmlns:ds="http://schemas.openxmlformats.org/officeDocument/2006/customXml" ds:itemID="{7BF04068-3CD4-4B8B-90E9-63F9642118B7}">
  <ds:schemaRefs/>
</ds:datastoreItem>
</file>

<file path=customXml/itemProps20.xml><?xml version="1.0" encoding="utf-8"?>
<ds:datastoreItem xmlns:ds="http://schemas.openxmlformats.org/officeDocument/2006/customXml" ds:itemID="{1F5610F1-8534-46DB-A6DF-C73E23D8E850}">
  <ds:schemaRefs/>
</ds:datastoreItem>
</file>

<file path=customXml/itemProps21.xml><?xml version="1.0" encoding="utf-8"?>
<ds:datastoreItem xmlns:ds="http://schemas.openxmlformats.org/officeDocument/2006/customXml" ds:itemID="{494A904B-1BF8-4EF6-8CCD-00DAB6A2D626}">
  <ds:schemaRefs/>
</ds:datastoreItem>
</file>

<file path=customXml/itemProps22.xml><?xml version="1.0" encoding="utf-8"?>
<ds:datastoreItem xmlns:ds="http://schemas.openxmlformats.org/officeDocument/2006/customXml" ds:itemID="{087F8A03-175A-4EA8-A95A-6AC20B1752FF}">
  <ds:schemaRefs/>
</ds:datastoreItem>
</file>

<file path=customXml/itemProps23.xml><?xml version="1.0" encoding="utf-8"?>
<ds:datastoreItem xmlns:ds="http://schemas.openxmlformats.org/officeDocument/2006/customXml" ds:itemID="{A0CE9B3A-0C7E-4FBB-AA63-1A84915EF7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Estadistica_Descriptiva</vt:lpstr>
      <vt:lpstr>Resumen_Escenarios</vt:lpstr>
      <vt:lpstr>Simulacion_Financiera</vt:lpstr>
      <vt:lpstr>Dashboard Final</vt:lpstr>
      <vt:lpstr>Soporte_Dashboard</vt:lpstr>
      <vt:lpstr>Raw_Ventas</vt:lpstr>
      <vt:lpstr>Clientes</vt:lpstr>
      <vt:lpstr>Productos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marcuus brito</dc:creator>
  <cp:lastModifiedBy>marcuus brito</cp:lastModifiedBy>
  <dcterms:created xsi:type="dcterms:W3CDTF">2026-10-19T15:11:57Z</dcterms:created>
  <dcterms:modified xsi:type="dcterms:W3CDTF">2026-10-23T16:48:48Z</dcterms:modified>
</cp:coreProperties>
</file>